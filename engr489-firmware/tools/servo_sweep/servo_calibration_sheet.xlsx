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9" sheetId="2" state="visible" r:id="rId2"/>
    <sheet name="D10" sheetId="3" state="visible" r:id="rId3"/>
    <sheet name="D1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0.0000"/>
    <numFmt numFmtId="166" formatCode="0.00000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</font>
    <font>
      <name val="Arial"/>
      <b val="1"/>
    </font>
    <font>
      <name val="Arial"/>
    </font>
    <font>
      <name val="Arial"/>
      <color rgb="000000FF"/>
    </font>
    <font>
      <name val="Arial"/>
      <i val="1"/>
      <color rgb="00808080"/>
    </font>
    <font>
      <name val="Arial"/>
      <color rgb="00A0A0A0"/>
      <sz val="8"/>
    </font>
    <font>
      <name val="Arial"/>
      <b val="1"/>
      <sz val="12"/>
    </font>
    <font>
      <name val="Arial"/>
      <color rgb="00008000"/>
    </font>
  </fonts>
  <fills count="5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D9E1F2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6" fillId="0" borderId="0" pivotButton="0" quotePrefix="0" xfId="0"/>
    <xf numFmtId="0" fontId="3" fillId="3" borderId="1" pivotButton="0" quotePrefix="0" xfId="0"/>
    <xf numFmtId="0" fontId="4" fillId="0" borderId="1" pivotButton="0" quotePrefix="0" xfId="0"/>
    <xf numFmtId="1" fontId="9" fillId="0" borderId="1" pivotButton="0" quotePrefix="0" xfId="0"/>
    <xf numFmtId="165" fontId="9" fillId="0" borderId="1" pivotButton="0" quotePrefix="0" xfId="0"/>
    <xf numFmtId="164" fontId="9" fillId="0" borderId="1" pivotButton="0" quotePrefix="0" xfId="0"/>
    <xf numFmtId="0" fontId="3" fillId="0" borderId="0" pivotButton="0" quotePrefix="0" xfId="0"/>
    <xf numFmtId="0" fontId="4" fillId="0" borderId="0" pivotButton="0" quotePrefix="0" xfId="0"/>
    <xf numFmtId="164" fontId="5" fillId="2" borderId="1" pivotButton="0" quotePrefix="0" xfId="0"/>
    <xf numFmtId="0" fontId="5" fillId="0" borderId="0" pivotButton="0" quotePrefix="0" xfId="0"/>
    <xf numFmtId="165" fontId="5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6" fillId="4" borderId="1" pivotButton="0" quotePrefix="0" xfId="0"/>
    <xf numFmtId="164" fontId="6" fillId="4" borderId="1" pivotButton="0" quotePrefix="0" xfId="0"/>
    <xf numFmtId="164" fontId="4" fillId="0" borderId="1" pivotButton="0" quotePrefix="0" xfId="0"/>
    <xf numFmtId="0" fontId="5" fillId="2" borderId="1" pivotButton="0" quotePrefix="0" xfId="0"/>
    <xf numFmtId="0" fontId="8" fillId="0" borderId="0" pivotButton="0" quotePrefix="0" xfId="0"/>
    <xf numFmtId="1" fontId="3" fillId="0" borderId="0" pivotButton="0" quotePrefix="0" xfId="0"/>
    <xf numFmtId="166" fontId="3" fillId="0" borderId="0" pivotButton="0" quotePrefix="0" xfId="0"/>
    <xf numFmtId="2" fontId="3" fillId="0" borderId="0" pivotButton="0" quotePrefix="0" xfId="0"/>
    <xf numFmtId="165" fontId="3" fillId="0" borderId="0" pivotButton="0" quotePrefix="0" xfId="0"/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Claude</author>
  </authors>
  <commentList>
    <comment ref="C8" authorId="0" shapeId="0">
      <text>
        <t>From delta_servo/config.h CAL[] (measured 2026-09-26).</t>
      </text>
    </comment>
    <comment ref="C9" authorId="0" shapeId="0">
      <text>
        <t>From delta_servo/config.h CAL[] (measured 2026-09-26).</t>
      </text>
    </comment>
  </commentList>
</comments>
</file>

<file path=xl/comments/comment2.xml><?xml version="1.0" encoding="utf-8"?>
<comments xmlns="http://schemas.openxmlformats.org/spreadsheetml/2006/main">
  <authors>
    <author>Claude</author>
  </authors>
  <commentList>
    <comment ref="C8" authorId="0" shapeId="0">
      <text>
        <t>From delta_servo/config.h CAL[] (measured 2026-09-26).</t>
      </text>
    </comment>
    <comment ref="C9" authorId="0" shapeId="0">
      <text>
        <t>From delta_servo/config.h CAL[] (measured 2026-09-26).</t>
      </text>
    </comment>
  </commentList>
</comments>
</file>

<file path=xl/comments/comment3.xml><?xml version="1.0" encoding="utf-8"?>
<comments xmlns="http://schemas.openxmlformats.org/spreadsheetml/2006/main">
  <authors>
    <author>Claude</author>
  </authors>
  <commentList>
    <comment ref="C8" authorId="0" shapeId="0">
      <text>
        <t>From delta_servo/config.h CAL[] (measured 2026-09-26).</t>
      </text>
    </comment>
    <comment ref="C9" authorId="0" shapeId="0">
      <text>
        <t>From delta_servo/config.h CAL[] (measured 2026-09-26).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8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Servo calibration — comparison of all three arms</t>
        </is>
      </c>
    </row>
    <row r="2">
      <c r="A2" s="2" t="inlineStr">
        <is>
          <t>Nothing to fill in here: it reads the D9 / D10 / D11 sheets. The odd one out should stand out.</t>
        </is>
      </c>
    </row>
    <row r="3">
      <c r="A3" s="3" t="inlineStr">
        <is>
          <t>Rough guide: error vs config &gt; 2° → recalibrate; off the straight line &gt; 1.5° → consider a lookup table; backlash &gt; 1° → mechanical or servo.</t>
        </is>
      </c>
    </row>
    <row r="5">
      <c r="B5" s="4" t="inlineStr">
        <is>
          <t>D9 (Arm 1)</t>
        </is>
      </c>
      <c r="C5" s="4" t="inlineStr">
        <is>
          <t>D10 (Arm 2)</t>
        </is>
      </c>
      <c r="D5" s="4" t="inlineStr">
        <is>
          <t>D11 (Arm 3)</t>
        </is>
      </c>
    </row>
    <row r="6">
      <c r="A6" s="5" t="inlineStr">
        <is>
          <t>Points measured</t>
        </is>
      </c>
      <c r="B6" s="6">
        <f>D9!C28</f>
        <v/>
      </c>
      <c r="C6" s="6">
        <f>D10!C28</f>
        <v/>
      </c>
      <c r="D6" s="6">
        <f>D11!C28</f>
        <v/>
      </c>
    </row>
    <row r="7">
      <c r="A7" s="5" t="inlineStr">
        <is>
          <t>Current centre_us</t>
        </is>
      </c>
      <c r="B7" s="6">
        <f>D9!C8</f>
        <v/>
      </c>
      <c r="C7" s="6">
        <f>D10!C8</f>
        <v/>
      </c>
      <c r="D7" s="6">
        <f>D11!C8</f>
        <v/>
      </c>
    </row>
    <row r="8">
      <c r="A8" s="5" t="inlineStr">
        <is>
          <t>New centre_us (fit)</t>
        </is>
      </c>
      <c r="B8" s="6">
        <f>D9!C32</f>
        <v/>
      </c>
      <c r="C8" s="6">
        <f>D10!C32</f>
        <v/>
      </c>
      <c r="D8" s="6">
        <f>D11!C32</f>
        <v/>
      </c>
    </row>
    <row r="9">
      <c r="A9" s="5" t="inlineStr">
        <is>
          <t>Current us_per_deg</t>
        </is>
      </c>
      <c r="B9" s="7">
        <f>D9!C9</f>
        <v/>
      </c>
      <c r="C9" s="7">
        <f>D10!C9</f>
        <v/>
      </c>
      <c r="D9" s="7">
        <f>D11!C9</f>
        <v/>
      </c>
    </row>
    <row r="10">
      <c r="A10" s="5" t="inlineStr">
        <is>
          <t>New us_per_deg (fit)</t>
        </is>
      </c>
      <c r="B10" s="7">
        <f>D9!C31</f>
        <v/>
      </c>
      <c r="C10" s="7">
        <f>D10!C31</f>
        <v/>
      </c>
      <c r="D10" s="7">
        <f>D11!C31</f>
        <v/>
      </c>
    </row>
    <row r="11">
      <c r="A11" s="5" t="inlineStr">
        <is>
          <t>Worst error vs current config (°)</t>
        </is>
      </c>
      <c r="B11" s="8">
        <f>D9!C33</f>
        <v/>
      </c>
      <c r="C11" s="8">
        <f>D10!C33</f>
        <v/>
      </c>
      <c r="D11" s="8">
        <f>D11!C33</f>
        <v/>
      </c>
    </row>
    <row r="12">
      <c r="A12" s="5" t="inlineStr">
        <is>
          <t>Worst distance from straight line (°)</t>
        </is>
      </c>
      <c r="B12" s="8">
        <f>D9!C34</f>
        <v/>
      </c>
      <c r="C12" s="8">
        <f>D10!C34</f>
        <v/>
      </c>
      <c r="D12" s="8">
        <f>D11!C34</f>
        <v/>
      </c>
    </row>
    <row r="13">
      <c r="A13" s="5" t="inlineStr">
        <is>
          <t>Worst backlash (°)</t>
        </is>
      </c>
      <c r="B13" s="8">
        <f>D9!E42</f>
        <v/>
      </c>
      <c r="C13" s="8">
        <f>D10!E42</f>
        <v/>
      </c>
      <c r="D13" s="8">
        <f>D11!E42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2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11" customWidth="1" min="3" max="3"/>
    <col width="10" customWidth="1" min="4" max="4"/>
    <col width="10" customWidth="1" min="5" max="5"/>
    <col width="11" customWidth="1" min="6" max="6"/>
    <col width="13" customWidth="1" min="7" max="7"/>
    <col width="14" customWidth="1" min="8" max="8"/>
    <col width="13" customWidth="1" min="9" max="9"/>
    <col width="13" customWidth="1" min="10" max="10"/>
    <col width="12" customWidth="1" min="11" max="11"/>
    <col width="30" customWidth="1" min="12" max="12"/>
    <col width="6" customWidth="1" min="13" max="13"/>
    <col width="6" customWidth="1" min="14" max="14"/>
    <col width="6" customWidth="1" min="15" max="15"/>
    <col width="6" customWidth="1" min="16" max="16"/>
  </cols>
  <sheetData>
    <row r="1">
      <c r="A1" s="1" t="inlineStr">
        <is>
          <t>Servo sweep — D9 (Arm 1)</t>
        </is>
      </c>
    </row>
    <row r="2">
      <c r="A2" s="2" t="inlineStr">
        <is>
          <t>Ruler method: a and b are measured straight down from the underside of the top plate to each mark.</t>
        </is>
      </c>
    </row>
    <row r="3">
      <c r="A3" s="9" t="inlineStr">
        <is>
          <t>Fill in only the YELLOW cells. Everything else calculates itself.</t>
        </is>
      </c>
    </row>
    <row r="4">
      <c r="A4" s="10" t="inlineStr">
        <is>
          <t>θ = asin((b − a) / L).  Positive θ = bicep DOWN (elbow end lower), matching config.h.</t>
        </is>
      </c>
    </row>
    <row r="5">
      <c r="A5" s="10" t="inlineStr">
        <is>
          <t>Serial Monitor: type  9 1200  then  n  for each next step.</t>
        </is>
      </c>
    </row>
    <row r="7">
      <c r="A7" s="9" t="inlineStr">
        <is>
          <t>L = distance between the two marks, along the arm (mm)</t>
        </is>
      </c>
      <c r="C7" s="11" t="n"/>
    </row>
    <row r="8">
      <c r="A8" s="10" t="inlineStr">
        <is>
          <t>Current config.h centre_us</t>
        </is>
      </c>
      <c r="C8" s="12" t="n">
        <v>1460</v>
      </c>
    </row>
    <row r="9">
      <c r="A9" s="10" t="inlineStr">
        <is>
          <t>Current config.h us_per_deg (dir = +1)</t>
        </is>
      </c>
      <c r="C9" s="13" t="n">
        <v>11.8231</v>
      </c>
    </row>
    <row r="11">
      <c r="A11" s="3" t="inlineStr">
        <is>
          <t>Step 5 (1840 µs) is the turnaround point, so it has no up/down pair.</t>
        </is>
      </c>
    </row>
    <row r="13" ht="32" customHeight="1">
      <c r="A13" s="14" t="inlineStr">
        <is>
          <t>Step</t>
        </is>
      </c>
      <c r="B13" s="14" t="inlineStr">
        <is>
          <t>Direction</t>
        </is>
      </c>
      <c r="C13" s="14" t="inlineStr">
        <is>
          <t>Pulse (µs)</t>
        </is>
      </c>
      <c r="D13" s="14" t="inlineStr">
        <is>
          <t>a (mm)</t>
        </is>
      </c>
      <c r="E13" s="14" t="inlineStr">
        <is>
          <t>b (mm)</t>
        </is>
      </c>
      <c r="F13" s="14" t="inlineStr">
        <is>
          <t>b − a (mm)</t>
        </is>
      </c>
      <c r="G13" s="14" t="inlineStr">
        <is>
          <t>Measured θ (°)</t>
        </is>
      </c>
      <c r="H13" s="14" t="inlineStr">
        <is>
          <t>θ config expects (°)</t>
        </is>
      </c>
      <c r="I13" s="14" t="inlineStr">
        <is>
          <t>Error vs config (°)</t>
        </is>
      </c>
      <c r="J13" s="14" t="inlineStr">
        <is>
          <t>Straight-line fit (°)</t>
        </is>
      </c>
      <c r="K13" s="14" t="inlineStr">
        <is>
          <t>Off the fit by (°)</t>
        </is>
      </c>
      <c r="L13" s="14" t="inlineStr">
        <is>
          <t>Notes</t>
        </is>
      </c>
      <c r="M13" s="15" t="inlineStr">
        <is>
          <t>fit helpers (ignore)</t>
        </is>
      </c>
    </row>
    <row r="14">
      <c r="A14" s="16" t="inlineStr">
        <is>
          <t>e.g.</t>
        </is>
      </c>
      <c r="B14" s="16" t="inlineStr">
        <is>
          <t>up</t>
        </is>
      </c>
      <c r="C14" s="16" t="n">
        <v>1200</v>
      </c>
      <c r="D14" s="16" t="n">
        <v>52</v>
      </c>
      <c r="E14" s="16" t="n">
        <v>30.5</v>
      </c>
      <c r="F14" s="17">
        <f>E14-D14</f>
        <v/>
      </c>
      <c r="G14" s="17">
        <f>DEGREES(ASIN(F14/150))</f>
        <v/>
      </c>
      <c r="H14" s="16" t="inlineStr"/>
      <c r="I14" s="16" t="inlineStr"/>
      <c r="J14" s="16" t="inlineStr"/>
      <c r="K14" s="16" t="inlineStr"/>
      <c r="L14" s="16" t="inlineStr">
        <is>
          <t>Example only, with L = 150 mm</t>
        </is>
      </c>
    </row>
    <row r="16">
      <c r="A16" s="5" t="n">
        <v>1</v>
      </c>
      <c r="B16" s="5" t="inlineStr">
        <is>
          <t>up</t>
        </is>
      </c>
      <c r="C16" s="5" t="n">
        <v>1200</v>
      </c>
      <c r="D16" s="11" t="n"/>
      <c r="E16" s="11" t="n"/>
      <c r="F16" s="18">
        <f>IF(OR(D16="",E16=""),"",E16-D16)</f>
        <v/>
      </c>
      <c r="G16" s="18">
        <f>IF(OR(F16="",$C$7=""),"",IFERROR(DEGREES(ASIN(F16/$C$7)),"check a/b/L"))</f>
        <v/>
      </c>
      <c r="H16" s="18">
        <f>(C16-$C$8)/$C$9</f>
        <v/>
      </c>
      <c r="I16" s="18">
        <f>IF(ISNUMBER(G16),G16-H16,"")</f>
        <v/>
      </c>
      <c r="J16" s="18">
        <f>IF(AND(ISNUMBER(G16),ISNUMBER($C$29)),$C$29*C16+$C$30,"")</f>
        <v/>
      </c>
      <c r="K16" s="18">
        <f>IF(ISNUMBER(J16),G16-J16,"")</f>
        <v/>
      </c>
      <c r="L16" s="19" t="n"/>
      <c r="M16" s="15">
        <f>IF(ISNUMBER(G16),C16,0)</f>
        <v/>
      </c>
      <c r="N16" s="15">
        <f>IF(ISNUMBER(G16),G16,0)</f>
        <v/>
      </c>
      <c r="O16" s="15">
        <f>M16*N16</f>
        <v/>
      </c>
      <c r="P16" s="15">
        <f>M16*M16</f>
        <v/>
      </c>
    </row>
    <row r="17">
      <c r="A17" s="5" t="n">
        <v>2</v>
      </c>
      <c r="B17" s="5" t="inlineStr">
        <is>
          <t>up</t>
        </is>
      </c>
      <c r="C17" s="5" t="n">
        <v>1360</v>
      </c>
      <c r="D17" s="11" t="n"/>
      <c r="E17" s="11" t="n"/>
      <c r="F17" s="18">
        <f>IF(OR(D17="",E17=""),"",E17-D17)</f>
        <v/>
      </c>
      <c r="G17" s="18">
        <f>IF(OR(F17="",$C$7=""),"",IFERROR(DEGREES(ASIN(F17/$C$7)),"check a/b/L"))</f>
        <v/>
      </c>
      <c r="H17" s="18">
        <f>(C17-$C$8)/$C$9</f>
        <v/>
      </c>
      <c r="I17" s="18">
        <f>IF(ISNUMBER(G17),G17-H17,"")</f>
        <v/>
      </c>
      <c r="J17" s="18">
        <f>IF(AND(ISNUMBER(G17),ISNUMBER($C$29)),$C$29*C17+$C$30,"")</f>
        <v/>
      </c>
      <c r="K17" s="18">
        <f>IF(ISNUMBER(J17),G17-J17,"")</f>
        <v/>
      </c>
      <c r="L17" s="19" t="n"/>
      <c r="M17" s="15">
        <f>IF(ISNUMBER(G17),C17,0)</f>
        <v/>
      </c>
      <c r="N17" s="15">
        <f>IF(ISNUMBER(G17),G17,0)</f>
        <v/>
      </c>
      <c r="O17" s="15">
        <f>M17*N17</f>
        <v/>
      </c>
      <c r="P17" s="15">
        <f>M17*M17</f>
        <v/>
      </c>
    </row>
    <row r="18">
      <c r="A18" s="5" t="n">
        <v>3</v>
      </c>
      <c r="B18" s="5" t="inlineStr">
        <is>
          <t>up</t>
        </is>
      </c>
      <c r="C18" s="5" t="n">
        <v>1520</v>
      </c>
      <c r="D18" s="11" t="n"/>
      <c r="E18" s="11" t="n"/>
      <c r="F18" s="18">
        <f>IF(OR(D18="",E18=""),"",E18-D18)</f>
        <v/>
      </c>
      <c r="G18" s="18">
        <f>IF(OR(F18="",$C$7=""),"",IFERROR(DEGREES(ASIN(F18/$C$7)),"check a/b/L"))</f>
        <v/>
      </c>
      <c r="H18" s="18">
        <f>(C18-$C$8)/$C$9</f>
        <v/>
      </c>
      <c r="I18" s="18">
        <f>IF(ISNUMBER(G18),G18-H18,"")</f>
        <v/>
      </c>
      <c r="J18" s="18">
        <f>IF(AND(ISNUMBER(G18),ISNUMBER($C$29)),$C$29*C18+$C$30,"")</f>
        <v/>
      </c>
      <c r="K18" s="18">
        <f>IF(ISNUMBER(J18),G18-J18,"")</f>
        <v/>
      </c>
      <c r="L18" s="19" t="n"/>
      <c r="M18" s="15">
        <f>IF(ISNUMBER(G18),C18,0)</f>
        <v/>
      </c>
      <c r="N18" s="15">
        <f>IF(ISNUMBER(G18),G18,0)</f>
        <v/>
      </c>
      <c r="O18" s="15">
        <f>M18*N18</f>
        <v/>
      </c>
      <c r="P18" s="15">
        <f>M18*M18</f>
        <v/>
      </c>
    </row>
    <row r="19">
      <c r="A19" s="5" t="n">
        <v>4</v>
      </c>
      <c r="B19" s="5" t="inlineStr">
        <is>
          <t>up</t>
        </is>
      </c>
      <c r="C19" s="5" t="n">
        <v>1680</v>
      </c>
      <c r="D19" s="11" t="n"/>
      <c r="E19" s="11" t="n"/>
      <c r="F19" s="18">
        <f>IF(OR(D19="",E19=""),"",E19-D19)</f>
        <v/>
      </c>
      <c r="G19" s="18">
        <f>IF(OR(F19="",$C$7=""),"",IFERROR(DEGREES(ASIN(F19/$C$7)),"check a/b/L"))</f>
        <v/>
      </c>
      <c r="H19" s="18">
        <f>(C19-$C$8)/$C$9</f>
        <v/>
      </c>
      <c r="I19" s="18">
        <f>IF(ISNUMBER(G19),G19-H19,"")</f>
        <v/>
      </c>
      <c r="J19" s="18">
        <f>IF(AND(ISNUMBER(G19),ISNUMBER($C$29)),$C$29*C19+$C$30,"")</f>
        <v/>
      </c>
      <c r="K19" s="18">
        <f>IF(ISNUMBER(J19),G19-J19,"")</f>
        <v/>
      </c>
      <c r="L19" s="19" t="n"/>
      <c r="M19" s="15">
        <f>IF(ISNUMBER(G19),C19,0)</f>
        <v/>
      </c>
      <c r="N19" s="15">
        <f>IF(ISNUMBER(G19),G19,0)</f>
        <v/>
      </c>
      <c r="O19" s="15">
        <f>M19*N19</f>
        <v/>
      </c>
      <c r="P19" s="15">
        <f>M19*M19</f>
        <v/>
      </c>
    </row>
    <row r="20">
      <c r="A20" s="5" t="n">
        <v>5</v>
      </c>
      <c r="B20" s="5" t="inlineStr">
        <is>
          <t>top</t>
        </is>
      </c>
      <c r="C20" s="5" t="n">
        <v>1840</v>
      </c>
      <c r="D20" s="11" t="n"/>
      <c r="E20" s="11" t="n"/>
      <c r="F20" s="18">
        <f>IF(OR(D20="",E20=""),"",E20-D20)</f>
        <v/>
      </c>
      <c r="G20" s="18">
        <f>IF(OR(F20="",$C$7=""),"",IFERROR(DEGREES(ASIN(F20/$C$7)),"check a/b/L"))</f>
        <v/>
      </c>
      <c r="H20" s="18">
        <f>(C20-$C$8)/$C$9</f>
        <v/>
      </c>
      <c r="I20" s="18">
        <f>IF(ISNUMBER(G20),G20-H20,"")</f>
        <v/>
      </c>
      <c r="J20" s="18">
        <f>IF(AND(ISNUMBER(G20),ISNUMBER($C$29)),$C$29*C20+$C$30,"")</f>
        <v/>
      </c>
      <c r="K20" s="18">
        <f>IF(ISNUMBER(J20),G20-J20,"")</f>
        <v/>
      </c>
      <c r="L20" s="19" t="n"/>
      <c r="M20" s="15">
        <f>IF(ISNUMBER(G20),C20,0)</f>
        <v/>
      </c>
      <c r="N20" s="15">
        <f>IF(ISNUMBER(G20),G20,0)</f>
        <v/>
      </c>
      <c r="O20" s="15">
        <f>M20*N20</f>
        <v/>
      </c>
      <c r="P20" s="15">
        <f>M20*M20</f>
        <v/>
      </c>
    </row>
    <row r="21">
      <c r="A21" s="5" t="n">
        <v>6</v>
      </c>
      <c r="B21" s="5" t="inlineStr">
        <is>
          <t>down</t>
        </is>
      </c>
      <c r="C21" s="5" t="n">
        <v>1680</v>
      </c>
      <c r="D21" s="11" t="n"/>
      <c r="E21" s="11" t="n"/>
      <c r="F21" s="18">
        <f>IF(OR(D21="",E21=""),"",E21-D21)</f>
        <v/>
      </c>
      <c r="G21" s="18">
        <f>IF(OR(F21="",$C$7=""),"",IFERROR(DEGREES(ASIN(F21/$C$7)),"check a/b/L"))</f>
        <v/>
      </c>
      <c r="H21" s="18">
        <f>(C21-$C$8)/$C$9</f>
        <v/>
      </c>
      <c r="I21" s="18">
        <f>IF(ISNUMBER(G21),G21-H21,"")</f>
        <v/>
      </c>
      <c r="J21" s="18">
        <f>IF(AND(ISNUMBER(G21),ISNUMBER($C$29)),$C$29*C21+$C$30,"")</f>
        <v/>
      </c>
      <c r="K21" s="18">
        <f>IF(ISNUMBER(J21),G21-J21,"")</f>
        <v/>
      </c>
      <c r="L21" s="19" t="n"/>
      <c r="M21" s="15">
        <f>IF(ISNUMBER(G21),C21,0)</f>
        <v/>
      </c>
      <c r="N21" s="15">
        <f>IF(ISNUMBER(G21),G21,0)</f>
        <v/>
      </c>
      <c r="O21" s="15">
        <f>M21*N21</f>
        <v/>
      </c>
      <c r="P21" s="15">
        <f>M21*M21</f>
        <v/>
      </c>
    </row>
    <row r="22">
      <c r="A22" s="5" t="n">
        <v>7</v>
      </c>
      <c r="B22" s="5" t="inlineStr">
        <is>
          <t>down</t>
        </is>
      </c>
      <c r="C22" s="5" t="n">
        <v>1520</v>
      </c>
      <c r="D22" s="11" t="n"/>
      <c r="E22" s="11" t="n"/>
      <c r="F22" s="18">
        <f>IF(OR(D22="",E22=""),"",E22-D22)</f>
        <v/>
      </c>
      <c r="G22" s="18">
        <f>IF(OR(F22="",$C$7=""),"",IFERROR(DEGREES(ASIN(F22/$C$7)),"check a/b/L"))</f>
        <v/>
      </c>
      <c r="H22" s="18">
        <f>(C22-$C$8)/$C$9</f>
        <v/>
      </c>
      <c r="I22" s="18">
        <f>IF(ISNUMBER(G22),G22-H22,"")</f>
        <v/>
      </c>
      <c r="J22" s="18">
        <f>IF(AND(ISNUMBER(G22),ISNUMBER($C$29)),$C$29*C22+$C$30,"")</f>
        <v/>
      </c>
      <c r="K22" s="18">
        <f>IF(ISNUMBER(J22),G22-J22,"")</f>
        <v/>
      </c>
      <c r="L22" s="19" t="n"/>
      <c r="M22" s="15">
        <f>IF(ISNUMBER(G22),C22,0)</f>
        <v/>
      </c>
      <c r="N22" s="15">
        <f>IF(ISNUMBER(G22),G22,0)</f>
        <v/>
      </c>
      <c r="O22" s="15">
        <f>M22*N22</f>
        <v/>
      </c>
      <c r="P22" s="15">
        <f>M22*M22</f>
        <v/>
      </c>
    </row>
    <row r="23">
      <c r="A23" s="5" t="n">
        <v>8</v>
      </c>
      <c r="B23" s="5" t="inlineStr">
        <is>
          <t>down</t>
        </is>
      </c>
      <c r="C23" s="5" t="n">
        <v>1360</v>
      </c>
      <c r="D23" s="11" t="n"/>
      <c r="E23" s="11" t="n"/>
      <c r="F23" s="18">
        <f>IF(OR(D23="",E23=""),"",E23-D23)</f>
        <v/>
      </c>
      <c r="G23" s="18">
        <f>IF(OR(F23="",$C$7=""),"",IFERROR(DEGREES(ASIN(F23/$C$7)),"check a/b/L"))</f>
        <v/>
      </c>
      <c r="H23" s="18">
        <f>(C23-$C$8)/$C$9</f>
        <v/>
      </c>
      <c r="I23" s="18">
        <f>IF(ISNUMBER(G23),G23-H23,"")</f>
        <v/>
      </c>
      <c r="J23" s="18">
        <f>IF(AND(ISNUMBER(G23),ISNUMBER($C$29)),$C$29*C23+$C$30,"")</f>
        <v/>
      </c>
      <c r="K23" s="18">
        <f>IF(ISNUMBER(J23),G23-J23,"")</f>
        <v/>
      </c>
      <c r="L23" s="19" t="n"/>
      <c r="M23" s="15">
        <f>IF(ISNUMBER(G23),C23,0)</f>
        <v/>
      </c>
      <c r="N23" s="15">
        <f>IF(ISNUMBER(G23),G23,0)</f>
        <v/>
      </c>
      <c r="O23" s="15">
        <f>M23*N23</f>
        <v/>
      </c>
      <c r="P23" s="15">
        <f>M23*M23</f>
        <v/>
      </c>
    </row>
    <row r="24">
      <c r="A24" s="5" t="n">
        <v>9</v>
      </c>
      <c r="B24" s="5" t="inlineStr">
        <is>
          <t>down</t>
        </is>
      </c>
      <c r="C24" s="5" t="n">
        <v>1200</v>
      </c>
      <c r="D24" s="11" t="n"/>
      <c r="E24" s="11" t="n"/>
      <c r="F24" s="18">
        <f>IF(OR(D24="",E24=""),"",E24-D24)</f>
        <v/>
      </c>
      <c r="G24" s="18">
        <f>IF(OR(F24="",$C$7=""),"",IFERROR(DEGREES(ASIN(F24/$C$7)),"check a/b/L"))</f>
        <v/>
      </c>
      <c r="H24" s="18">
        <f>(C24-$C$8)/$C$9</f>
        <v/>
      </c>
      <c r="I24" s="18">
        <f>IF(ISNUMBER(G24),G24-H24,"")</f>
        <v/>
      </c>
      <c r="J24" s="18">
        <f>IF(AND(ISNUMBER(G24),ISNUMBER($C$29)),$C$29*C24+$C$30,"")</f>
        <v/>
      </c>
      <c r="K24" s="18">
        <f>IF(ISNUMBER(J24),G24-J24,"")</f>
        <v/>
      </c>
      <c r="L24" s="19" t="n"/>
      <c r="M24" s="15">
        <f>IF(ISNUMBER(G24),C24,0)</f>
        <v/>
      </c>
      <c r="N24" s="15">
        <f>IF(ISNUMBER(G24),G24,0)</f>
        <v/>
      </c>
      <c r="O24" s="15">
        <f>M24*N24</f>
        <v/>
      </c>
      <c r="P24" s="15">
        <f>M24*M24</f>
        <v/>
      </c>
    </row>
    <row r="27">
      <c r="A27" s="20" t="inlineStr">
        <is>
          <t>Results (fill in at least 3 steps)</t>
        </is>
      </c>
    </row>
    <row r="28">
      <c r="A28" s="10" t="inlineStr">
        <is>
          <t>Points measured</t>
        </is>
      </c>
      <c r="C28" s="21">
        <f>COUNT(G16:G24)</f>
        <v/>
      </c>
    </row>
    <row r="29">
      <c r="A29" s="10" t="inlineStr">
        <is>
          <t>Fit slope (° per µs)</t>
        </is>
      </c>
      <c r="C29" s="22">
        <f>IF(C28&gt;=3,(C28*SUM(O16:O24)-SUM(M16:M24)*SUM(N16:N24))/(C28*SUM(P16:P24)-SUM(M16:M24)^2),"")</f>
        <v/>
      </c>
    </row>
    <row r="30">
      <c r="A30" s="10" t="inlineStr">
        <is>
          <t>Fit intercept (°)</t>
        </is>
      </c>
      <c r="C30" s="23">
        <f>IF(C28&gt;=3,(SUM(N16:N24)-C29*SUM(M16:M24))/C28,"")</f>
        <v/>
      </c>
    </row>
    <row r="31">
      <c r="A31" s="10" t="inlineStr">
        <is>
          <t>New us_per_deg (from fit)</t>
        </is>
      </c>
      <c r="C31" s="24">
        <f>IF(ISNUMBER(C29),1/C29,"")</f>
        <v/>
      </c>
    </row>
    <row r="32">
      <c r="A32" s="10" t="inlineStr">
        <is>
          <t>New centre_us (µs where θ = 0)</t>
        </is>
      </c>
      <c r="C32" s="21">
        <f>IF(ISNUMBER(C29),-C30/C29,"")</f>
        <v/>
      </c>
    </row>
    <row r="33">
      <c r="A33" s="10" t="inlineStr">
        <is>
          <t>Worst error vs current config (°)</t>
        </is>
      </c>
      <c r="C33" s="25">
        <f>IF(C28&gt;0,MAX(MAX(I16:I24),-MIN(I16:I24)),"")</f>
        <v/>
      </c>
    </row>
    <row r="34">
      <c r="A34" s="10" t="inlineStr">
        <is>
          <t>Worst distance from straight line (°)</t>
        </is>
      </c>
      <c r="C34" s="25">
        <f>IF(C28&gt;=3,MAX(MAX(K16:K24),-MIN(K16:K24)),"")</f>
        <v/>
      </c>
    </row>
    <row r="36">
      <c r="A36" s="20" t="inlineStr">
        <is>
          <t>Up vs down at the same pulse (backlash)</t>
        </is>
      </c>
    </row>
    <row r="37">
      <c r="A37" s="4" t="inlineStr">
        <is>
          <t>Pulse (µs)</t>
        </is>
      </c>
      <c r="C37" s="4" t="inlineStr">
        <is>
          <t>θ going up (°)</t>
        </is>
      </c>
      <c r="D37" s="4" t="inlineStr">
        <is>
          <t>θ coming down (°)</t>
        </is>
      </c>
      <c r="E37" s="4" t="inlineStr">
        <is>
          <t>Down − up (°)</t>
        </is>
      </c>
    </row>
    <row r="38">
      <c r="A38" s="5" t="n">
        <v>1200</v>
      </c>
      <c r="C38" s="18">
        <f>G16</f>
        <v/>
      </c>
      <c r="D38" s="18">
        <f>G24</f>
        <v/>
      </c>
      <c r="E38" s="18">
        <f>IF(AND(ISNUMBER(C38),ISNUMBER(D38)),D38-C38,"")</f>
        <v/>
      </c>
    </row>
    <row r="39">
      <c r="A39" s="5" t="n">
        <v>1360</v>
      </c>
      <c r="C39" s="18">
        <f>G17</f>
        <v/>
      </c>
      <c r="D39" s="18">
        <f>G23</f>
        <v/>
      </c>
      <c r="E39" s="18">
        <f>IF(AND(ISNUMBER(C39),ISNUMBER(D39)),D39-C39,"")</f>
        <v/>
      </c>
    </row>
    <row r="40">
      <c r="A40" s="5" t="n">
        <v>1520</v>
      </c>
      <c r="C40" s="18">
        <f>G18</f>
        <v/>
      </c>
      <c r="D40" s="18">
        <f>G22</f>
        <v/>
      </c>
      <c r="E40" s="18">
        <f>IF(AND(ISNUMBER(C40),ISNUMBER(D40)),D40-C40,"")</f>
        <v/>
      </c>
    </row>
    <row r="41">
      <c r="A41" s="5" t="n">
        <v>1680</v>
      </c>
      <c r="C41" s="18">
        <f>G19</f>
        <v/>
      </c>
      <c r="D41" s="18">
        <f>G21</f>
        <v/>
      </c>
      <c r="E41" s="18">
        <f>IF(AND(ISNUMBER(C41),ISNUMBER(D41)),D41-C41,"")</f>
        <v/>
      </c>
    </row>
    <row r="42">
      <c r="A42" s="10" t="inlineStr">
        <is>
          <t>Worst backlash (°)</t>
        </is>
      </c>
      <c r="E42" s="25">
        <f>IF(COUNT(E38:E41)&gt;0,MAX(MAX(E38:E41),-MIN(E38:E41)),"")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2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11" customWidth="1" min="3" max="3"/>
    <col width="10" customWidth="1" min="4" max="4"/>
    <col width="10" customWidth="1" min="5" max="5"/>
    <col width="11" customWidth="1" min="6" max="6"/>
    <col width="13" customWidth="1" min="7" max="7"/>
    <col width="14" customWidth="1" min="8" max="8"/>
    <col width="13" customWidth="1" min="9" max="9"/>
    <col width="13" customWidth="1" min="10" max="10"/>
    <col width="12" customWidth="1" min="11" max="11"/>
    <col width="30" customWidth="1" min="12" max="12"/>
    <col width="6" customWidth="1" min="13" max="13"/>
    <col width="6" customWidth="1" min="14" max="14"/>
    <col width="6" customWidth="1" min="15" max="15"/>
    <col width="6" customWidth="1" min="16" max="16"/>
  </cols>
  <sheetData>
    <row r="1">
      <c r="A1" s="1" t="inlineStr">
        <is>
          <t>Servo sweep — D10 (Arm 2)</t>
        </is>
      </c>
    </row>
    <row r="2">
      <c r="A2" s="2" t="inlineStr">
        <is>
          <t>Ruler method: a and b are measured straight down from the underside of the top plate to each mark.</t>
        </is>
      </c>
    </row>
    <row r="3">
      <c r="A3" s="9" t="inlineStr">
        <is>
          <t>Fill in only the YELLOW cells. Everything else calculates itself.</t>
        </is>
      </c>
    </row>
    <row r="4">
      <c r="A4" s="10" t="inlineStr">
        <is>
          <t>θ = asin((b − a) / L).  Positive θ = bicep DOWN (elbow end lower), matching config.h.</t>
        </is>
      </c>
    </row>
    <row r="5">
      <c r="A5" s="10" t="inlineStr">
        <is>
          <t>Serial Monitor: type  10 1200  then  n  for each next step.</t>
        </is>
      </c>
    </row>
    <row r="7">
      <c r="A7" s="9" t="inlineStr">
        <is>
          <t>L = distance between the two marks, along the arm (mm)</t>
        </is>
      </c>
      <c r="C7" s="11" t="n"/>
    </row>
    <row r="8">
      <c r="A8" s="10" t="inlineStr">
        <is>
          <t>Current config.h centre_us</t>
        </is>
      </c>
      <c r="C8" s="12" t="n">
        <v>1385</v>
      </c>
    </row>
    <row r="9">
      <c r="A9" s="10" t="inlineStr">
        <is>
          <t>Current config.h us_per_deg (dir = +1)</t>
        </is>
      </c>
      <c r="C9" s="13" t="n">
        <v>10.0481</v>
      </c>
    </row>
    <row r="11">
      <c r="A11" s="3" t="inlineStr">
        <is>
          <t>Step 5 (1840 µs) is the turnaround point, so it has no up/down pair.</t>
        </is>
      </c>
    </row>
    <row r="13" ht="32" customHeight="1">
      <c r="A13" s="14" t="inlineStr">
        <is>
          <t>Step</t>
        </is>
      </c>
      <c r="B13" s="14" t="inlineStr">
        <is>
          <t>Direction</t>
        </is>
      </c>
      <c r="C13" s="14" t="inlineStr">
        <is>
          <t>Pulse (µs)</t>
        </is>
      </c>
      <c r="D13" s="14" t="inlineStr">
        <is>
          <t>a (mm)</t>
        </is>
      </c>
      <c r="E13" s="14" t="inlineStr">
        <is>
          <t>b (mm)</t>
        </is>
      </c>
      <c r="F13" s="14" t="inlineStr">
        <is>
          <t>b − a (mm)</t>
        </is>
      </c>
      <c r="G13" s="14" t="inlineStr">
        <is>
          <t>Measured θ (°)</t>
        </is>
      </c>
      <c r="H13" s="14" t="inlineStr">
        <is>
          <t>θ config expects (°)</t>
        </is>
      </c>
      <c r="I13" s="14" t="inlineStr">
        <is>
          <t>Error vs config (°)</t>
        </is>
      </c>
      <c r="J13" s="14" t="inlineStr">
        <is>
          <t>Straight-line fit (°)</t>
        </is>
      </c>
      <c r="K13" s="14" t="inlineStr">
        <is>
          <t>Off the fit by (°)</t>
        </is>
      </c>
      <c r="L13" s="14" t="inlineStr">
        <is>
          <t>Notes</t>
        </is>
      </c>
      <c r="M13" s="15" t="inlineStr">
        <is>
          <t>fit helpers (ignore)</t>
        </is>
      </c>
    </row>
    <row r="14">
      <c r="A14" s="16" t="inlineStr">
        <is>
          <t>e.g.</t>
        </is>
      </c>
      <c r="B14" s="16" t="inlineStr">
        <is>
          <t>up</t>
        </is>
      </c>
      <c r="C14" s="16" t="n">
        <v>1200</v>
      </c>
      <c r="D14" s="16" t="n">
        <v>52</v>
      </c>
      <c r="E14" s="16" t="n">
        <v>30.5</v>
      </c>
      <c r="F14" s="17">
        <f>E14-D14</f>
        <v/>
      </c>
      <c r="G14" s="17">
        <f>DEGREES(ASIN(F14/150))</f>
        <v/>
      </c>
      <c r="H14" s="16" t="inlineStr"/>
      <c r="I14" s="16" t="inlineStr"/>
      <c r="J14" s="16" t="inlineStr"/>
      <c r="K14" s="16" t="inlineStr"/>
      <c r="L14" s="16" t="inlineStr">
        <is>
          <t>Example only, with L = 150 mm</t>
        </is>
      </c>
    </row>
    <row r="16">
      <c r="A16" s="5" t="n">
        <v>1</v>
      </c>
      <c r="B16" s="5" t="inlineStr">
        <is>
          <t>up</t>
        </is>
      </c>
      <c r="C16" s="5" t="n">
        <v>1200</v>
      </c>
      <c r="D16" s="11" t="n"/>
      <c r="E16" s="11" t="n"/>
      <c r="F16" s="18">
        <f>IF(OR(D16="",E16=""),"",E16-D16)</f>
        <v/>
      </c>
      <c r="G16" s="18">
        <f>IF(OR(F16="",$C$7=""),"",IFERROR(DEGREES(ASIN(F16/$C$7)),"check a/b/L"))</f>
        <v/>
      </c>
      <c r="H16" s="18">
        <f>(C16-$C$8)/$C$9</f>
        <v/>
      </c>
      <c r="I16" s="18">
        <f>IF(ISNUMBER(G16),G16-H16,"")</f>
        <v/>
      </c>
      <c r="J16" s="18">
        <f>IF(AND(ISNUMBER(G16),ISNUMBER($C$29)),$C$29*C16+$C$30,"")</f>
        <v/>
      </c>
      <c r="K16" s="18">
        <f>IF(ISNUMBER(J16),G16-J16,"")</f>
        <v/>
      </c>
      <c r="L16" s="19" t="n"/>
      <c r="M16" s="15">
        <f>IF(ISNUMBER(G16),C16,0)</f>
        <v/>
      </c>
      <c r="N16" s="15">
        <f>IF(ISNUMBER(G16),G16,0)</f>
        <v/>
      </c>
      <c r="O16" s="15">
        <f>M16*N16</f>
        <v/>
      </c>
      <c r="P16" s="15">
        <f>M16*M16</f>
        <v/>
      </c>
    </row>
    <row r="17">
      <c r="A17" s="5" t="n">
        <v>2</v>
      </c>
      <c r="B17" s="5" t="inlineStr">
        <is>
          <t>up</t>
        </is>
      </c>
      <c r="C17" s="5" t="n">
        <v>1360</v>
      </c>
      <c r="D17" s="11" t="n"/>
      <c r="E17" s="11" t="n"/>
      <c r="F17" s="18">
        <f>IF(OR(D17="",E17=""),"",E17-D17)</f>
        <v/>
      </c>
      <c r="G17" s="18">
        <f>IF(OR(F17="",$C$7=""),"",IFERROR(DEGREES(ASIN(F17/$C$7)),"check a/b/L"))</f>
        <v/>
      </c>
      <c r="H17" s="18">
        <f>(C17-$C$8)/$C$9</f>
        <v/>
      </c>
      <c r="I17" s="18">
        <f>IF(ISNUMBER(G17),G17-H17,"")</f>
        <v/>
      </c>
      <c r="J17" s="18">
        <f>IF(AND(ISNUMBER(G17),ISNUMBER($C$29)),$C$29*C17+$C$30,"")</f>
        <v/>
      </c>
      <c r="K17" s="18">
        <f>IF(ISNUMBER(J17),G17-J17,"")</f>
        <v/>
      </c>
      <c r="L17" s="19" t="n"/>
      <c r="M17" s="15">
        <f>IF(ISNUMBER(G17),C17,0)</f>
        <v/>
      </c>
      <c r="N17" s="15">
        <f>IF(ISNUMBER(G17),G17,0)</f>
        <v/>
      </c>
      <c r="O17" s="15">
        <f>M17*N17</f>
        <v/>
      </c>
      <c r="P17" s="15">
        <f>M17*M17</f>
        <v/>
      </c>
    </row>
    <row r="18">
      <c r="A18" s="5" t="n">
        <v>3</v>
      </c>
      <c r="B18" s="5" t="inlineStr">
        <is>
          <t>up</t>
        </is>
      </c>
      <c r="C18" s="5" t="n">
        <v>1520</v>
      </c>
      <c r="D18" s="11" t="n"/>
      <c r="E18" s="11" t="n"/>
      <c r="F18" s="18">
        <f>IF(OR(D18="",E18=""),"",E18-D18)</f>
        <v/>
      </c>
      <c r="G18" s="18">
        <f>IF(OR(F18="",$C$7=""),"",IFERROR(DEGREES(ASIN(F18/$C$7)),"check a/b/L"))</f>
        <v/>
      </c>
      <c r="H18" s="18">
        <f>(C18-$C$8)/$C$9</f>
        <v/>
      </c>
      <c r="I18" s="18">
        <f>IF(ISNUMBER(G18),G18-H18,"")</f>
        <v/>
      </c>
      <c r="J18" s="18">
        <f>IF(AND(ISNUMBER(G18),ISNUMBER($C$29)),$C$29*C18+$C$30,"")</f>
        <v/>
      </c>
      <c r="K18" s="18">
        <f>IF(ISNUMBER(J18),G18-J18,"")</f>
        <v/>
      </c>
      <c r="L18" s="19" t="n"/>
      <c r="M18" s="15">
        <f>IF(ISNUMBER(G18),C18,0)</f>
        <v/>
      </c>
      <c r="N18" s="15">
        <f>IF(ISNUMBER(G18),G18,0)</f>
        <v/>
      </c>
      <c r="O18" s="15">
        <f>M18*N18</f>
        <v/>
      </c>
      <c r="P18" s="15">
        <f>M18*M18</f>
        <v/>
      </c>
    </row>
    <row r="19">
      <c r="A19" s="5" t="n">
        <v>4</v>
      </c>
      <c r="B19" s="5" t="inlineStr">
        <is>
          <t>up</t>
        </is>
      </c>
      <c r="C19" s="5" t="n">
        <v>1680</v>
      </c>
      <c r="D19" s="11" t="n"/>
      <c r="E19" s="11" t="n"/>
      <c r="F19" s="18">
        <f>IF(OR(D19="",E19=""),"",E19-D19)</f>
        <v/>
      </c>
      <c r="G19" s="18">
        <f>IF(OR(F19="",$C$7=""),"",IFERROR(DEGREES(ASIN(F19/$C$7)),"check a/b/L"))</f>
        <v/>
      </c>
      <c r="H19" s="18">
        <f>(C19-$C$8)/$C$9</f>
        <v/>
      </c>
      <c r="I19" s="18">
        <f>IF(ISNUMBER(G19),G19-H19,"")</f>
        <v/>
      </c>
      <c r="J19" s="18">
        <f>IF(AND(ISNUMBER(G19),ISNUMBER($C$29)),$C$29*C19+$C$30,"")</f>
        <v/>
      </c>
      <c r="K19" s="18">
        <f>IF(ISNUMBER(J19),G19-J19,"")</f>
        <v/>
      </c>
      <c r="L19" s="19" t="n"/>
      <c r="M19" s="15">
        <f>IF(ISNUMBER(G19),C19,0)</f>
        <v/>
      </c>
      <c r="N19" s="15">
        <f>IF(ISNUMBER(G19),G19,0)</f>
        <v/>
      </c>
      <c r="O19" s="15">
        <f>M19*N19</f>
        <v/>
      </c>
      <c r="P19" s="15">
        <f>M19*M19</f>
        <v/>
      </c>
    </row>
    <row r="20">
      <c r="A20" s="5" t="n">
        <v>5</v>
      </c>
      <c r="B20" s="5" t="inlineStr">
        <is>
          <t>top</t>
        </is>
      </c>
      <c r="C20" s="5" t="n">
        <v>1840</v>
      </c>
      <c r="D20" s="11" t="n"/>
      <c r="E20" s="11" t="n"/>
      <c r="F20" s="18">
        <f>IF(OR(D20="",E20=""),"",E20-D20)</f>
        <v/>
      </c>
      <c r="G20" s="18">
        <f>IF(OR(F20="",$C$7=""),"",IFERROR(DEGREES(ASIN(F20/$C$7)),"check a/b/L"))</f>
        <v/>
      </c>
      <c r="H20" s="18">
        <f>(C20-$C$8)/$C$9</f>
        <v/>
      </c>
      <c r="I20" s="18">
        <f>IF(ISNUMBER(G20),G20-H20,"")</f>
        <v/>
      </c>
      <c r="J20" s="18">
        <f>IF(AND(ISNUMBER(G20),ISNUMBER($C$29)),$C$29*C20+$C$30,"")</f>
        <v/>
      </c>
      <c r="K20" s="18">
        <f>IF(ISNUMBER(J20),G20-J20,"")</f>
        <v/>
      </c>
      <c r="L20" s="19" t="n"/>
      <c r="M20" s="15">
        <f>IF(ISNUMBER(G20),C20,0)</f>
        <v/>
      </c>
      <c r="N20" s="15">
        <f>IF(ISNUMBER(G20),G20,0)</f>
        <v/>
      </c>
      <c r="O20" s="15">
        <f>M20*N20</f>
        <v/>
      </c>
      <c r="P20" s="15">
        <f>M20*M20</f>
        <v/>
      </c>
    </row>
    <row r="21">
      <c r="A21" s="5" t="n">
        <v>6</v>
      </c>
      <c r="B21" s="5" t="inlineStr">
        <is>
          <t>down</t>
        </is>
      </c>
      <c r="C21" s="5" t="n">
        <v>1680</v>
      </c>
      <c r="D21" s="11" t="n"/>
      <c r="E21" s="11" t="n"/>
      <c r="F21" s="18">
        <f>IF(OR(D21="",E21=""),"",E21-D21)</f>
        <v/>
      </c>
      <c r="G21" s="18">
        <f>IF(OR(F21="",$C$7=""),"",IFERROR(DEGREES(ASIN(F21/$C$7)),"check a/b/L"))</f>
        <v/>
      </c>
      <c r="H21" s="18">
        <f>(C21-$C$8)/$C$9</f>
        <v/>
      </c>
      <c r="I21" s="18">
        <f>IF(ISNUMBER(G21),G21-H21,"")</f>
        <v/>
      </c>
      <c r="J21" s="18">
        <f>IF(AND(ISNUMBER(G21),ISNUMBER($C$29)),$C$29*C21+$C$30,"")</f>
        <v/>
      </c>
      <c r="K21" s="18">
        <f>IF(ISNUMBER(J21),G21-J21,"")</f>
        <v/>
      </c>
      <c r="L21" s="19" t="n"/>
      <c r="M21" s="15">
        <f>IF(ISNUMBER(G21),C21,0)</f>
        <v/>
      </c>
      <c r="N21" s="15">
        <f>IF(ISNUMBER(G21),G21,0)</f>
        <v/>
      </c>
      <c r="O21" s="15">
        <f>M21*N21</f>
        <v/>
      </c>
      <c r="P21" s="15">
        <f>M21*M21</f>
        <v/>
      </c>
    </row>
    <row r="22">
      <c r="A22" s="5" t="n">
        <v>7</v>
      </c>
      <c r="B22" s="5" t="inlineStr">
        <is>
          <t>down</t>
        </is>
      </c>
      <c r="C22" s="5" t="n">
        <v>1520</v>
      </c>
      <c r="D22" s="11" t="n"/>
      <c r="E22" s="11" t="n"/>
      <c r="F22" s="18">
        <f>IF(OR(D22="",E22=""),"",E22-D22)</f>
        <v/>
      </c>
      <c r="G22" s="18">
        <f>IF(OR(F22="",$C$7=""),"",IFERROR(DEGREES(ASIN(F22/$C$7)),"check a/b/L"))</f>
        <v/>
      </c>
      <c r="H22" s="18">
        <f>(C22-$C$8)/$C$9</f>
        <v/>
      </c>
      <c r="I22" s="18">
        <f>IF(ISNUMBER(G22),G22-H22,"")</f>
        <v/>
      </c>
      <c r="J22" s="18">
        <f>IF(AND(ISNUMBER(G22),ISNUMBER($C$29)),$C$29*C22+$C$30,"")</f>
        <v/>
      </c>
      <c r="K22" s="18">
        <f>IF(ISNUMBER(J22),G22-J22,"")</f>
        <v/>
      </c>
      <c r="L22" s="19" t="n"/>
      <c r="M22" s="15">
        <f>IF(ISNUMBER(G22),C22,0)</f>
        <v/>
      </c>
      <c r="N22" s="15">
        <f>IF(ISNUMBER(G22),G22,0)</f>
        <v/>
      </c>
      <c r="O22" s="15">
        <f>M22*N22</f>
        <v/>
      </c>
      <c r="P22" s="15">
        <f>M22*M22</f>
        <v/>
      </c>
    </row>
    <row r="23">
      <c r="A23" s="5" t="n">
        <v>8</v>
      </c>
      <c r="B23" s="5" t="inlineStr">
        <is>
          <t>down</t>
        </is>
      </c>
      <c r="C23" s="5" t="n">
        <v>1360</v>
      </c>
      <c r="D23" s="11" t="n"/>
      <c r="E23" s="11" t="n"/>
      <c r="F23" s="18">
        <f>IF(OR(D23="",E23=""),"",E23-D23)</f>
        <v/>
      </c>
      <c r="G23" s="18">
        <f>IF(OR(F23="",$C$7=""),"",IFERROR(DEGREES(ASIN(F23/$C$7)),"check a/b/L"))</f>
        <v/>
      </c>
      <c r="H23" s="18">
        <f>(C23-$C$8)/$C$9</f>
        <v/>
      </c>
      <c r="I23" s="18">
        <f>IF(ISNUMBER(G23),G23-H23,"")</f>
        <v/>
      </c>
      <c r="J23" s="18">
        <f>IF(AND(ISNUMBER(G23),ISNUMBER($C$29)),$C$29*C23+$C$30,"")</f>
        <v/>
      </c>
      <c r="K23" s="18">
        <f>IF(ISNUMBER(J23),G23-J23,"")</f>
        <v/>
      </c>
      <c r="L23" s="19" t="n"/>
      <c r="M23" s="15">
        <f>IF(ISNUMBER(G23),C23,0)</f>
        <v/>
      </c>
      <c r="N23" s="15">
        <f>IF(ISNUMBER(G23),G23,0)</f>
        <v/>
      </c>
      <c r="O23" s="15">
        <f>M23*N23</f>
        <v/>
      </c>
      <c r="P23" s="15">
        <f>M23*M23</f>
        <v/>
      </c>
    </row>
    <row r="24">
      <c r="A24" s="5" t="n">
        <v>9</v>
      </c>
      <c r="B24" s="5" t="inlineStr">
        <is>
          <t>down</t>
        </is>
      </c>
      <c r="C24" s="5" t="n">
        <v>1200</v>
      </c>
      <c r="D24" s="11" t="n"/>
      <c r="E24" s="11" t="n"/>
      <c r="F24" s="18">
        <f>IF(OR(D24="",E24=""),"",E24-D24)</f>
        <v/>
      </c>
      <c r="G24" s="18">
        <f>IF(OR(F24="",$C$7=""),"",IFERROR(DEGREES(ASIN(F24/$C$7)),"check a/b/L"))</f>
        <v/>
      </c>
      <c r="H24" s="18">
        <f>(C24-$C$8)/$C$9</f>
        <v/>
      </c>
      <c r="I24" s="18">
        <f>IF(ISNUMBER(G24),G24-H24,"")</f>
        <v/>
      </c>
      <c r="J24" s="18">
        <f>IF(AND(ISNUMBER(G24),ISNUMBER($C$29)),$C$29*C24+$C$30,"")</f>
        <v/>
      </c>
      <c r="K24" s="18">
        <f>IF(ISNUMBER(J24),G24-J24,"")</f>
        <v/>
      </c>
      <c r="L24" s="19" t="n"/>
      <c r="M24" s="15">
        <f>IF(ISNUMBER(G24),C24,0)</f>
        <v/>
      </c>
      <c r="N24" s="15">
        <f>IF(ISNUMBER(G24),G24,0)</f>
        <v/>
      </c>
      <c r="O24" s="15">
        <f>M24*N24</f>
        <v/>
      </c>
      <c r="P24" s="15">
        <f>M24*M24</f>
        <v/>
      </c>
    </row>
    <row r="27">
      <c r="A27" s="20" t="inlineStr">
        <is>
          <t>Results (fill in at least 3 steps)</t>
        </is>
      </c>
    </row>
    <row r="28">
      <c r="A28" s="10" t="inlineStr">
        <is>
          <t>Points measured</t>
        </is>
      </c>
      <c r="C28" s="21">
        <f>COUNT(G16:G24)</f>
        <v/>
      </c>
    </row>
    <row r="29">
      <c r="A29" s="10" t="inlineStr">
        <is>
          <t>Fit slope (° per µs)</t>
        </is>
      </c>
      <c r="C29" s="22">
        <f>IF(C28&gt;=3,(C28*SUM(O16:O24)-SUM(M16:M24)*SUM(N16:N24))/(C28*SUM(P16:P24)-SUM(M16:M24)^2),"")</f>
        <v/>
      </c>
    </row>
    <row r="30">
      <c r="A30" s="10" t="inlineStr">
        <is>
          <t>Fit intercept (°)</t>
        </is>
      </c>
      <c r="C30" s="23">
        <f>IF(C28&gt;=3,(SUM(N16:N24)-C29*SUM(M16:M24))/C28,"")</f>
        <v/>
      </c>
    </row>
    <row r="31">
      <c r="A31" s="10" t="inlineStr">
        <is>
          <t>New us_per_deg (from fit)</t>
        </is>
      </c>
      <c r="C31" s="24">
        <f>IF(ISNUMBER(C29),1/C29,"")</f>
        <v/>
      </c>
    </row>
    <row r="32">
      <c r="A32" s="10" t="inlineStr">
        <is>
          <t>New centre_us (µs where θ = 0)</t>
        </is>
      </c>
      <c r="C32" s="21">
        <f>IF(ISNUMBER(C29),-C30/C29,"")</f>
        <v/>
      </c>
    </row>
    <row r="33">
      <c r="A33" s="10" t="inlineStr">
        <is>
          <t>Worst error vs current config (°)</t>
        </is>
      </c>
      <c r="C33" s="25">
        <f>IF(C28&gt;0,MAX(MAX(I16:I24),-MIN(I16:I24)),"")</f>
        <v/>
      </c>
    </row>
    <row r="34">
      <c r="A34" s="10" t="inlineStr">
        <is>
          <t>Worst distance from straight line (°)</t>
        </is>
      </c>
      <c r="C34" s="25">
        <f>IF(C28&gt;=3,MAX(MAX(K16:K24),-MIN(K16:K24)),"")</f>
        <v/>
      </c>
    </row>
    <row r="36">
      <c r="A36" s="20" t="inlineStr">
        <is>
          <t>Up vs down at the same pulse (backlash)</t>
        </is>
      </c>
    </row>
    <row r="37">
      <c r="A37" s="4" t="inlineStr">
        <is>
          <t>Pulse (µs)</t>
        </is>
      </c>
      <c r="C37" s="4" t="inlineStr">
        <is>
          <t>θ going up (°)</t>
        </is>
      </c>
      <c r="D37" s="4" t="inlineStr">
        <is>
          <t>θ coming down (°)</t>
        </is>
      </c>
      <c r="E37" s="4" t="inlineStr">
        <is>
          <t>Down − up (°)</t>
        </is>
      </c>
    </row>
    <row r="38">
      <c r="A38" s="5" t="n">
        <v>1200</v>
      </c>
      <c r="C38" s="18">
        <f>G16</f>
        <v/>
      </c>
      <c r="D38" s="18">
        <f>G24</f>
        <v/>
      </c>
      <c r="E38" s="18">
        <f>IF(AND(ISNUMBER(C38),ISNUMBER(D38)),D38-C38,"")</f>
        <v/>
      </c>
    </row>
    <row r="39">
      <c r="A39" s="5" t="n">
        <v>1360</v>
      </c>
      <c r="C39" s="18">
        <f>G17</f>
        <v/>
      </c>
      <c r="D39" s="18">
        <f>G23</f>
        <v/>
      </c>
      <c r="E39" s="18">
        <f>IF(AND(ISNUMBER(C39),ISNUMBER(D39)),D39-C39,"")</f>
        <v/>
      </c>
    </row>
    <row r="40">
      <c r="A40" s="5" t="n">
        <v>1520</v>
      </c>
      <c r="C40" s="18">
        <f>G18</f>
        <v/>
      </c>
      <c r="D40" s="18">
        <f>G22</f>
        <v/>
      </c>
      <c r="E40" s="18">
        <f>IF(AND(ISNUMBER(C40),ISNUMBER(D40)),D40-C40,"")</f>
        <v/>
      </c>
    </row>
    <row r="41">
      <c r="A41" s="5" t="n">
        <v>1680</v>
      </c>
      <c r="C41" s="18">
        <f>G19</f>
        <v/>
      </c>
      <c r="D41" s="18">
        <f>G21</f>
        <v/>
      </c>
      <c r="E41" s="18">
        <f>IF(AND(ISNUMBER(C41),ISNUMBER(D41)),D41-C41,"")</f>
        <v/>
      </c>
    </row>
    <row r="42">
      <c r="A42" s="10" t="inlineStr">
        <is>
          <t>Worst backlash (°)</t>
        </is>
      </c>
      <c r="E42" s="25">
        <f>IF(COUNT(E38:E41)&gt;0,MAX(MAX(E38:E41),-MIN(E38:E41)),"")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2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11" customWidth="1" min="3" max="3"/>
    <col width="10" customWidth="1" min="4" max="4"/>
    <col width="10" customWidth="1" min="5" max="5"/>
    <col width="11" customWidth="1" min="6" max="6"/>
    <col width="13" customWidth="1" min="7" max="7"/>
    <col width="14" customWidth="1" min="8" max="8"/>
    <col width="13" customWidth="1" min="9" max="9"/>
    <col width="13" customWidth="1" min="10" max="10"/>
    <col width="12" customWidth="1" min="11" max="11"/>
    <col width="30" customWidth="1" min="12" max="12"/>
    <col width="6" customWidth="1" min="13" max="13"/>
    <col width="6" customWidth="1" min="14" max="14"/>
    <col width="6" customWidth="1" min="15" max="15"/>
    <col width="6" customWidth="1" min="16" max="16"/>
  </cols>
  <sheetData>
    <row r="1">
      <c r="A1" s="1" t="inlineStr">
        <is>
          <t>Servo sweep — D11 (Arm 3)</t>
        </is>
      </c>
    </row>
    <row r="2">
      <c r="A2" s="2" t="inlineStr">
        <is>
          <t>Ruler method: a and b are measured straight down from the underside of the top plate to each mark.</t>
        </is>
      </c>
    </row>
    <row r="3">
      <c r="A3" s="9" t="inlineStr">
        <is>
          <t>Fill in only the YELLOW cells. Everything else calculates itself.</t>
        </is>
      </c>
    </row>
    <row r="4">
      <c r="A4" s="10" t="inlineStr">
        <is>
          <t>θ = asin((b − a) / L).  Positive θ = bicep DOWN (elbow end lower), matching config.h.</t>
        </is>
      </c>
    </row>
    <row r="5">
      <c r="A5" s="10" t="inlineStr">
        <is>
          <t>Serial Monitor: type  11 1200  then  n  for each next step.</t>
        </is>
      </c>
    </row>
    <row r="7">
      <c r="A7" s="9" t="inlineStr">
        <is>
          <t>L = distance between the two marks, along the arm (mm)</t>
        </is>
      </c>
      <c r="C7" s="11" t="n"/>
    </row>
    <row r="8">
      <c r="A8" s="10" t="inlineStr">
        <is>
          <t>Current config.h centre_us</t>
        </is>
      </c>
      <c r="C8" s="12" t="n">
        <v>1410</v>
      </c>
    </row>
    <row r="9">
      <c r="A9" s="10" t="inlineStr">
        <is>
          <t>Current config.h us_per_deg (dir = +1)</t>
        </is>
      </c>
      <c r="C9" s="13" t="n">
        <v>10.5544</v>
      </c>
    </row>
    <row r="11">
      <c r="A11" s="3" t="inlineStr">
        <is>
          <t>Step 5 (1840 µs) is the turnaround point, so it has no up/down pair.</t>
        </is>
      </c>
    </row>
    <row r="13" ht="32" customHeight="1">
      <c r="A13" s="14" t="inlineStr">
        <is>
          <t>Step</t>
        </is>
      </c>
      <c r="B13" s="14" t="inlineStr">
        <is>
          <t>Direction</t>
        </is>
      </c>
      <c r="C13" s="14" t="inlineStr">
        <is>
          <t>Pulse (µs)</t>
        </is>
      </c>
      <c r="D13" s="14" t="inlineStr">
        <is>
          <t>a (mm)</t>
        </is>
      </c>
      <c r="E13" s="14" t="inlineStr">
        <is>
          <t>b (mm)</t>
        </is>
      </c>
      <c r="F13" s="14" t="inlineStr">
        <is>
          <t>b − a (mm)</t>
        </is>
      </c>
      <c r="G13" s="14" t="inlineStr">
        <is>
          <t>Measured θ (°)</t>
        </is>
      </c>
      <c r="H13" s="14" t="inlineStr">
        <is>
          <t>θ config expects (°)</t>
        </is>
      </c>
      <c r="I13" s="14" t="inlineStr">
        <is>
          <t>Error vs config (°)</t>
        </is>
      </c>
      <c r="J13" s="14" t="inlineStr">
        <is>
          <t>Straight-line fit (°)</t>
        </is>
      </c>
      <c r="K13" s="14" t="inlineStr">
        <is>
          <t>Off the fit by (°)</t>
        </is>
      </c>
      <c r="L13" s="14" t="inlineStr">
        <is>
          <t>Notes</t>
        </is>
      </c>
      <c r="M13" s="15" t="inlineStr">
        <is>
          <t>fit helpers (ignore)</t>
        </is>
      </c>
    </row>
    <row r="14">
      <c r="A14" s="16" t="inlineStr">
        <is>
          <t>e.g.</t>
        </is>
      </c>
      <c r="B14" s="16" t="inlineStr">
        <is>
          <t>up</t>
        </is>
      </c>
      <c r="C14" s="16" t="n">
        <v>1200</v>
      </c>
      <c r="D14" s="16" t="n">
        <v>52</v>
      </c>
      <c r="E14" s="16" t="n">
        <v>30.5</v>
      </c>
      <c r="F14" s="17">
        <f>E14-D14</f>
        <v/>
      </c>
      <c r="G14" s="17">
        <f>DEGREES(ASIN(F14/150))</f>
        <v/>
      </c>
      <c r="H14" s="16" t="inlineStr"/>
      <c r="I14" s="16" t="inlineStr"/>
      <c r="J14" s="16" t="inlineStr"/>
      <c r="K14" s="16" t="inlineStr"/>
      <c r="L14" s="16" t="inlineStr">
        <is>
          <t>Example only, with L = 150 mm</t>
        </is>
      </c>
    </row>
    <row r="16">
      <c r="A16" s="5" t="n">
        <v>1</v>
      </c>
      <c r="B16" s="5" t="inlineStr">
        <is>
          <t>up</t>
        </is>
      </c>
      <c r="C16" s="5" t="n">
        <v>1200</v>
      </c>
      <c r="D16" s="11" t="n"/>
      <c r="E16" s="11" t="n"/>
      <c r="F16" s="18">
        <f>IF(OR(D16="",E16=""),"",E16-D16)</f>
        <v/>
      </c>
      <c r="G16" s="18">
        <f>IF(OR(F16="",$C$7=""),"",IFERROR(DEGREES(ASIN(F16/$C$7)),"check a/b/L"))</f>
        <v/>
      </c>
      <c r="H16" s="18">
        <f>(C16-$C$8)/$C$9</f>
        <v/>
      </c>
      <c r="I16" s="18">
        <f>IF(ISNUMBER(G16),G16-H16,"")</f>
        <v/>
      </c>
      <c r="J16" s="18">
        <f>IF(AND(ISNUMBER(G16),ISNUMBER($C$29)),$C$29*C16+$C$30,"")</f>
        <v/>
      </c>
      <c r="K16" s="18">
        <f>IF(ISNUMBER(J16),G16-J16,"")</f>
        <v/>
      </c>
      <c r="L16" s="19" t="n"/>
      <c r="M16" s="15">
        <f>IF(ISNUMBER(G16),C16,0)</f>
        <v/>
      </c>
      <c r="N16" s="15">
        <f>IF(ISNUMBER(G16),G16,0)</f>
        <v/>
      </c>
      <c r="O16" s="15">
        <f>M16*N16</f>
        <v/>
      </c>
      <c r="P16" s="15">
        <f>M16*M16</f>
        <v/>
      </c>
    </row>
    <row r="17">
      <c r="A17" s="5" t="n">
        <v>2</v>
      </c>
      <c r="B17" s="5" t="inlineStr">
        <is>
          <t>up</t>
        </is>
      </c>
      <c r="C17" s="5" t="n">
        <v>1360</v>
      </c>
      <c r="D17" s="11" t="n"/>
      <c r="E17" s="11" t="n"/>
      <c r="F17" s="18">
        <f>IF(OR(D17="",E17=""),"",E17-D17)</f>
        <v/>
      </c>
      <c r="G17" s="18">
        <f>IF(OR(F17="",$C$7=""),"",IFERROR(DEGREES(ASIN(F17/$C$7)),"check a/b/L"))</f>
        <v/>
      </c>
      <c r="H17" s="18">
        <f>(C17-$C$8)/$C$9</f>
        <v/>
      </c>
      <c r="I17" s="18">
        <f>IF(ISNUMBER(G17),G17-H17,"")</f>
        <v/>
      </c>
      <c r="J17" s="18">
        <f>IF(AND(ISNUMBER(G17),ISNUMBER($C$29)),$C$29*C17+$C$30,"")</f>
        <v/>
      </c>
      <c r="K17" s="18">
        <f>IF(ISNUMBER(J17),G17-J17,"")</f>
        <v/>
      </c>
      <c r="L17" s="19" t="n"/>
      <c r="M17" s="15">
        <f>IF(ISNUMBER(G17),C17,0)</f>
        <v/>
      </c>
      <c r="N17" s="15">
        <f>IF(ISNUMBER(G17),G17,0)</f>
        <v/>
      </c>
      <c r="O17" s="15">
        <f>M17*N17</f>
        <v/>
      </c>
      <c r="P17" s="15">
        <f>M17*M17</f>
        <v/>
      </c>
    </row>
    <row r="18">
      <c r="A18" s="5" t="n">
        <v>3</v>
      </c>
      <c r="B18" s="5" t="inlineStr">
        <is>
          <t>up</t>
        </is>
      </c>
      <c r="C18" s="5" t="n">
        <v>1520</v>
      </c>
      <c r="D18" s="11" t="n"/>
      <c r="E18" s="11" t="n"/>
      <c r="F18" s="18">
        <f>IF(OR(D18="",E18=""),"",E18-D18)</f>
        <v/>
      </c>
      <c r="G18" s="18">
        <f>IF(OR(F18="",$C$7=""),"",IFERROR(DEGREES(ASIN(F18/$C$7)),"check a/b/L"))</f>
        <v/>
      </c>
      <c r="H18" s="18">
        <f>(C18-$C$8)/$C$9</f>
        <v/>
      </c>
      <c r="I18" s="18">
        <f>IF(ISNUMBER(G18),G18-H18,"")</f>
        <v/>
      </c>
      <c r="J18" s="18">
        <f>IF(AND(ISNUMBER(G18),ISNUMBER($C$29)),$C$29*C18+$C$30,"")</f>
        <v/>
      </c>
      <c r="K18" s="18">
        <f>IF(ISNUMBER(J18),G18-J18,"")</f>
        <v/>
      </c>
      <c r="L18" s="19" t="n"/>
      <c r="M18" s="15">
        <f>IF(ISNUMBER(G18),C18,0)</f>
        <v/>
      </c>
      <c r="N18" s="15">
        <f>IF(ISNUMBER(G18),G18,0)</f>
        <v/>
      </c>
      <c r="O18" s="15">
        <f>M18*N18</f>
        <v/>
      </c>
      <c r="P18" s="15">
        <f>M18*M18</f>
        <v/>
      </c>
    </row>
    <row r="19">
      <c r="A19" s="5" t="n">
        <v>4</v>
      </c>
      <c r="B19" s="5" t="inlineStr">
        <is>
          <t>up</t>
        </is>
      </c>
      <c r="C19" s="5" t="n">
        <v>1680</v>
      </c>
      <c r="D19" s="11" t="n"/>
      <c r="E19" s="11" t="n"/>
      <c r="F19" s="18">
        <f>IF(OR(D19="",E19=""),"",E19-D19)</f>
        <v/>
      </c>
      <c r="G19" s="18">
        <f>IF(OR(F19="",$C$7=""),"",IFERROR(DEGREES(ASIN(F19/$C$7)),"check a/b/L"))</f>
        <v/>
      </c>
      <c r="H19" s="18">
        <f>(C19-$C$8)/$C$9</f>
        <v/>
      </c>
      <c r="I19" s="18">
        <f>IF(ISNUMBER(G19),G19-H19,"")</f>
        <v/>
      </c>
      <c r="J19" s="18">
        <f>IF(AND(ISNUMBER(G19),ISNUMBER($C$29)),$C$29*C19+$C$30,"")</f>
        <v/>
      </c>
      <c r="K19" s="18">
        <f>IF(ISNUMBER(J19),G19-J19,"")</f>
        <v/>
      </c>
      <c r="L19" s="19" t="n"/>
      <c r="M19" s="15">
        <f>IF(ISNUMBER(G19),C19,0)</f>
        <v/>
      </c>
      <c r="N19" s="15">
        <f>IF(ISNUMBER(G19),G19,0)</f>
        <v/>
      </c>
      <c r="O19" s="15">
        <f>M19*N19</f>
        <v/>
      </c>
      <c r="P19" s="15">
        <f>M19*M19</f>
        <v/>
      </c>
    </row>
    <row r="20">
      <c r="A20" s="5" t="n">
        <v>5</v>
      </c>
      <c r="B20" s="5" t="inlineStr">
        <is>
          <t>top</t>
        </is>
      </c>
      <c r="C20" s="5" t="n">
        <v>1840</v>
      </c>
      <c r="D20" s="11" t="n"/>
      <c r="E20" s="11" t="n"/>
      <c r="F20" s="18">
        <f>IF(OR(D20="",E20=""),"",E20-D20)</f>
        <v/>
      </c>
      <c r="G20" s="18">
        <f>IF(OR(F20="",$C$7=""),"",IFERROR(DEGREES(ASIN(F20/$C$7)),"check a/b/L"))</f>
        <v/>
      </c>
      <c r="H20" s="18">
        <f>(C20-$C$8)/$C$9</f>
        <v/>
      </c>
      <c r="I20" s="18">
        <f>IF(ISNUMBER(G20),G20-H20,"")</f>
        <v/>
      </c>
      <c r="J20" s="18">
        <f>IF(AND(ISNUMBER(G20),ISNUMBER($C$29)),$C$29*C20+$C$30,"")</f>
        <v/>
      </c>
      <c r="K20" s="18">
        <f>IF(ISNUMBER(J20),G20-J20,"")</f>
        <v/>
      </c>
      <c r="L20" s="19" t="n"/>
      <c r="M20" s="15">
        <f>IF(ISNUMBER(G20),C20,0)</f>
        <v/>
      </c>
      <c r="N20" s="15">
        <f>IF(ISNUMBER(G20),G20,0)</f>
        <v/>
      </c>
      <c r="O20" s="15">
        <f>M20*N20</f>
        <v/>
      </c>
      <c r="P20" s="15">
        <f>M20*M20</f>
        <v/>
      </c>
    </row>
    <row r="21">
      <c r="A21" s="5" t="n">
        <v>6</v>
      </c>
      <c r="B21" s="5" t="inlineStr">
        <is>
          <t>down</t>
        </is>
      </c>
      <c r="C21" s="5" t="n">
        <v>1680</v>
      </c>
      <c r="D21" s="11" t="n"/>
      <c r="E21" s="11" t="n"/>
      <c r="F21" s="18">
        <f>IF(OR(D21="",E21=""),"",E21-D21)</f>
        <v/>
      </c>
      <c r="G21" s="18">
        <f>IF(OR(F21="",$C$7=""),"",IFERROR(DEGREES(ASIN(F21/$C$7)),"check a/b/L"))</f>
        <v/>
      </c>
      <c r="H21" s="18">
        <f>(C21-$C$8)/$C$9</f>
        <v/>
      </c>
      <c r="I21" s="18">
        <f>IF(ISNUMBER(G21),G21-H21,"")</f>
        <v/>
      </c>
      <c r="J21" s="18">
        <f>IF(AND(ISNUMBER(G21),ISNUMBER($C$29)),$C$29*C21+$C$30,"")</f>
        <v/>
      </c>
      <c r="K21" s="18">
        <f>IF(ISNUMBER(J21),G21-J21,"")</f>
        <v/>
      </c>
      <c r="L21" s="19" t="n"/>
      <c r="M21" s="15">
        <f>IF(ISNUMBER(G21),C21,0)</f>
        <v/>
      </c>
      <c r="N21" s="15">
        <f>IF(ISNUMBER(G21),G21,0)</f>
        <v/>
      </c>
      <c r="O21" s="15">
        <f>M21*N21</f>
        <v/>
      </c>
      <c r="P21" s="15">
        <f>M21*M21</f>
        <v/>
      </c>
    </row>
    <row r="22">
      <c r="A22" s="5" t="n">
        <v>7</v>
      </c>
      <c r="B22" s="5" t="inlineStr">
        <is>
          <t>down</t>
        </is>
      </c>
      <c r="C22" s="5" t="n">
        <v>1520</v>
      </c>
      <c r="D22" s="11" t="n"/>
      <c r="E22" s="11" t="n"/>
      <c r="F22" s="18">
        <f>IF(OR(D22="",E22=""),"",E22-D22)</f>
        <v/>
      </c>
      <c r="G22" s="18">
        <f>IF(OR(F22="",$C$7=""),"",IFERROR(DEGREES(ASIN(F22/$C$7)),"check a/b/L"))</f>
        <v/>
      </c>
      <c r="H22" s="18">
        <f>(C22-$C$8)/$C$9</f>
        <v/>
      </c>
      <c r="I22" s="18">
        <f>IF(ISNUMBER(G22),G22-H22,"")</f>
        <v/>
      </c>
      <c r="J22" s="18">
        <f>IF(AND(ISNUMBER(G22),ISNUMBER($C$29)),$C$29*C22+$C$30,"")</f>
        <v/>
      </c>
      <c r="K22" s="18">
        <f>IF(ISNUMBER(J22),G22-J22,"")</f>
        <v/>
      </c>
      <c r="L22" s="19" t="n"/>
      <c r="M22" s="15">
        <f>IF(ISNUMBER(G22),C22,0)</f>
        <v/>
      </c>
      <c r="N22" s="15">
        <f>IF(ISNUMBER(G22),G22,0)</f>
        <v/>
      </c>
      <c r="O22" s="15">
        <f>M22*N22</f>
        <v/>
      </c>
      <c r="P22" s="15">
        <f>M22*M22</f>
        <v/>
      </c>
    </row>
    <row r="23">
      <c r="A23" s="5" t="n">
        <v>8</v>
      </c>
      <c r="B23" s="5" t="inlineStr">
        <is>
          <t>down</t>
        </is>
      </c>
      <c r="C23" s="5" t="n">
        <v>1360</v>
      </c>
      <c r="D23" s="11" t="n"/>
      <c r="E23" s="11" t="n"/>
      <c r="F23" s="18">
        <f>IF(OR(D23="",E23=""),"",E23-D23)</f>
        <v/>
      </c>
      <c r="G23" s="18">
        <f>IF(OR(F23="",$C$7=""),"",IFERROR(DEGREES(ASIN(F23/$C$7)),"check a/b/L"))</f>
        <v/>
      </c>
      <c r="H23" s="18">
        <f>(C23-$C$8)/$C$9</f>
        <v/>
      </c>
      <c r="I23" s="18">
        <f>IF(ISNUMBER(G23),G23-H23,"")</f>
        <v/>
      </c>
      <c r="J23" s="18">
        <f>IF(AND(ISNUMBER(G23),ISNUMBER($C$29)),$C$29*C23+$C$30,"")</f>
        <v/>
      </c>
      <c r="K23" s="18">
        <f>IF(ISNUMBER(J23),G23-J23,"")</f>
        <v/>
      </c>
      <c r="L23" s="19" t="n"/>
      <c r="M23" s="15">
        <f>IF(ISNUMBER(G23),C23,0)</f>
        <v/>
      </c>
      <c r="N23" s="15">
        <f>IF(ISNUMBER(G23),G23,0)</f>
        <v/>
      </c>
      <c r="O23" s="15">
        <f>M23*N23</f>
        <v/>
      </c>
      <c r="P23" s="15">
        <f>M23*M23</f>
        <v/>
      </c>
    </row>
    <row r="24">
      <c r="A24" s="5" t="n">
        <v>9</v>
      </c>
      <c r="B24" s="5" t="inlineStr">
        <is>
          <t>down</t>
        </is>
      </c>
      <c r="C24" s="5" t="n">
        <v>1200</v>
      </c>
      <c r="D24" s="11" t="n"/>
      <c r="E24" s="11" t="n"/>
      <c r="F24" s="18">
        <f>IF(OR(D24="",E24=""),"",E24-D24)</f>
        <v/>
      </c>
      <c r="G24" s="18">
        <f>IF(OR(F24="",$C$7=""),"",IFERROR(DEGREES(ASIN(F24/$C$7)),"check a/b/L"))</f>
        <v/>
      </c>
      <c r="H24" s="18">
        <f>(C24-$C$8)/$C$9</f>
        <v/>
      </c>
      <c r="I24" s="18">
        <f>IF(ISNUMBER(G24),G24-H24,"")</f>
        <v/>
      </c>
      <c r="J24" s="18">
        <f>IF(AND(ISNUMBER(G24),ISNUMBER($C$29)),$C$29*C24+$C$30,"")</f>
        <v/>
      </c>
      <c r="K24" s="18">
        <f>IF(ISNUMBER(J24),G24-J24,"")</f>
        <v/>
      </c>
      <c r="L24" s="19" t="n"/>
      <c r="M24" s="15">
        <f>IF(ISNUMBER(G24),C24,0)</f>
        <v/>
      </c>
      <c r="N24" s="15">
        <f>IF(ISNUMBER(G24),G24,0)</f>
        <v/>
      </c>
      <c r="O24" s="15">
        <f>M24*N24</f>
        <v/>
      </c>
      <c r="P24" s="15">
        <f>M24*M24</f>
        <v/>
      </c>
    </row>
    <row r="27">
      <c r="A27" s="20" t="inlineStr">
        <is>
          <t>Results (fill in at least 3 steps)</t>
        </is>
      </c>
    </row>
    <row r="28">
      <c r="A28" s="10" t="inlineStr">
        <is>
          <t>Points measured</t>
        </is>
      </c>
      <c r="C28" s="21">
        <f>COUNT(G16:G24)</f>
        <v/>
      </c>
    </row>
    <row r="29">
      <c r="A29" s="10" t="inlineStr">
        <is>
          <t>Fit slope (° per µs)</t>
        </is>
      </c>
      <c r="C29" s="22">
        <f>IF(C28&gt;=3,(C28*SUM(O16:O24)-SUM(M16:M24)*SUM(N16:N24))/(C28*SUM(P16:P24)-SUM(M16:M24)^2),"")</f>
        <v/>
      </c>
    </row>
    <row r="30">
      <c r="A30" s="10" t="inlineStr">
        <is>
          <t>Fit intercept (°)</t>
        </is>
      </c>
      <c r="C30" s="23">
        <f>IF(C28&gt;=3,(SUM(N16:N24)-C29*SUM(M16:M24))/C28,"")</f>
        <v/>
      </c>
    </row>
    <row r="31">
      <c r="A31" s="10" t="inlineStr">
        <is>
          <t>New us_per_deg (from fit)</t>
        </is>
      </c>
      <c r="C31" s="24">
        <f>IF(ISNUMBER(C29),1/C29,"")</f>
        <v/>
      </c>
    </row>
    <row r="32">
      <c r="A32" s="10" t="inlineStr">
        <is>
          <t>New centre_us (µs where θ = 0)</t>
        </is>
      </c>
      <c r="C32" s="21">
        <f>IF(ISNUMBER(C29),-C30/C29,"")</f>
        <v/>
      </c>
    </row>
    <row r="33">
      <c r="A33" s="10" t="inlineStr">
        <is>
          <t>Worst error vs current config (°)</t>
        </is>
      </c>
      <c r="C33" s="25">
        <f>IF(C28&gt;0,MAX(MAX(I16:I24),-MIN(I16:I24)),"")</f>
        <v/>
      </c>
    </row>
    <row r="34">
      <c r="A34" s="10" t="inlineStr">
        <is>
          <t>Worst distance from straight line (°)</t>
        </is>
      </c>
      <c r="C34" s="25">
        <f>IF(C28&gt;=3,MAX(MAX(K16:K24),-MIN(K16:K24)),"")</f>
        <v/>
      </c>
    </row>
    <row r="36">
      <c r="A36" s="20" t="inlineStr">
        <is>
          <t>Up vs down at the same pulse (backlash)</t>
        </is>
      </c>
    </row>
    <row r="37">
      <c r="A37" s="4" t="inlineStr">
        <is>
          <t>Pulse (µs)</t>
        </is>
      </c>
      <c r="C37" s="4" t="inlineStr">
        <is>
          <t>θ going up (°)</t>
        </is>
      </c>
      <c r="D37" s="4" t="inlineStr">
        <is>
          <t>θ coming down (°)</t>
        </is>
      </c>
      <c r="E37" s="4" t="inlineStr">
        <is>
          <t>Down − up (°)</t>
        </is>
      </c>
    </row>
    <row r="38">
      <c r="A38" s="5" t="n">
        <v>1200</v>
      </c>
      <c r="C38" s="18">
        <f>G16</f>
        <v/>
      </c>
      <c r="D38" s="18">
        <f>G24</f>
        <v/>
      </c>
      <c r="E38" s="18">
        <f>IF(AND(ISNUMBER(C38),ISNUMBER(D38)),D38-C38,"")</f>
        <v/>
      </c>
    </row>
    <row r="39">
      <c r="A39" s="5" t="n">
        <v>1360</v>
      </c>
      <c r="C39" s="18">
        <f>G17</f>
        <v/>
      </c>
      <c r="D39" s="18">
        <f>G23</f>
        <v/>
      </c>
      <c r="E39" s="18">
        <f>IF(AND(ISNUMBER(C39),ISNUMBER(D39)),D39-C39,"")</f>
        <v/>
      </c>
    </row>
    <row r="40">
      <c r="A40" s="5" t="n">
        <v>1520</v>
      </c>
      <c r="C40" s="18">
        <f>G18</f>
        <v/>
      </c>
      <c r="D40" s="18">
        <f>G22</f>
        <v/>
      </c>
      <c r="E40" s="18">
        <f>IF(AND(ISNUMBER(C40),ISNUMBER(D40)),D40-C40,"")</f>
        <v/>
      </c>
    </row>
    <row r="41">
      <c r="A41" s="5" t="n">
        <v>1680</v>
      </c>
      <c r="C41" s="18">
        <f>G19</f>
        <v/>
      </c>
      <c r="D41" s="18">
        <f>G21</f>
        <v/>
      </c>
      <c r="E41" s="18">
        <f>IF(AND(ISNUMBER(C41),ISNUMBER(D41)),D41-C41,"")</f>
        <v/>
      </c>
    </row>
    <row r="42">
      <c r="A42" s="10" t="inlineStr">
        <is>
          <t>Worst backlash (°)</t>
        </is>
      </c>
      <c r="E42" s="25">
        <f>IF(COUNT(E38:E41)&gt;0,MAX(MAX(E38:E41),-MIN(E38:E41)),"")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2026-09-29T09:28:36Z</dcterms:created>
  <dcterms:modified xsi:type="dcterms:W3CDTF">2026-09-29T09:28:36Z</dcterms:modified>
</cp:coreProperties>
</file>