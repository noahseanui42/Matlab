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etup" sheetId="2" state="visible" r:id="rId4"/>
    <sheet name="Sweep" sheetId="3" state="visible" r:id="rId5"/>
    <sheet name="Repeatability" sheetId="4" state="visible" r:id="rId6"/>
    <sheet name="Off-axis" sheetId="5" state="visible" r:id="rId7"/>
    <sheet name="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Defaults = the 2026-09-30 refit (config.h on claude/amazing-lovelace-onixrv). Before that: D9 1460/11.8231, D10 1350/9.51, D11 1410/10.5544. Always enter what is actually flashed for this test.</t>
        </r>
      </text>
    </comment>
  </commentList>
</comments>
</file>

<file path=xl/sharedStrings.xml><?xml version="1.0" encoding="utf-8"?>
<sst xmlns="http://schemas.openxmlformats.org/spreadsheetml/2006/main" count="237" uniqueCount="139">
  <si>
    <t xml:space="preserve">How to use this workbook</t>
  </si>
  <si>
    <t xml:space="preserve">Legend</t>
  </si>
  <si>
    <t xml:space="preserve">Yellow cell, blue text</t>
  </si>
  <si>
    <t xml:space="preserve">You fill it in.</t>
  </si>
  <si>
    <t xml:space="preserve">Grey cell</t>
  </si>
  <si>
    <t xml:space="preserve">Formula. Don't edit.</t>
  </si>
  <si>
    <t xml:space="preserve">Orange cell</t>
  </si>
  <si>
    <t xml:space="preserve">Warning: GUI angle differs from Expected by &gt;0.2° (wrong build/geometry/TCP), or error &gt;1°.</t>
  </si>
  <si>
    <t xml:space="preserve">Before you start</t>
  </si>
  <si>
    <t xml:space="preserve">1</t>
  </si>
  <si>
    <t xml:space="preserve">Fill in Setup: date, build, battery voltage, and the calibration that is actually flashed (check arm 2).</t>
  </si>
  <si>
    <t xml:space="preserve">2</t>
  </si>
  <si>
    <t xml:space="preserve">Fresh batteries. Joint mode, 10% speed. Zero the protractor on the base plate.</t>
  </si>
  <si>
    <t xml:space="preserve">3</t>
  </si>
  <si>
    <t xml:space="preserve">Pick one flat face on each bicep and always measure on that face.</t>
  </si>
  <si>
    <t xml:space="preserve">Tests (in order)</t>
  </si>
  <si>
    <t xml:space="preserve">Sweep</t>
  </si>
  <si>
    <t xml:space="preserve">Up pass -730 → -570, then Down pass -570 → -730, 10 mm steps, no Home in between. 34 rows.</t>
  </si>
  <si>
    <t xml:space="preserve">Repeatability</t>
  </si>
  <si>
    <t xml:space="preserve">3 points × 3 repeats, going Home between each.</t>
  </si>
  <si>
    <t xml:space="preserve">Off-axis</t>
  </si>
  <si>
    <t xml:space="preserve">Do this AFTER updating the calibration from the Analysis sheet. Checks pin order.</t>
  </si>
  <si>
    <t xml:space="preserve">At every point</t>
  </si>
  <si>
    <t xml:space="preserve">a</t>
  </si>
  <si>
    <t xml:space="preserve">Wait ~2 s to settle.</t>
  </si>
  <si>
    <t xml:space="preserve">b</t>
  </si>
  <si>
    <t xml:space="preserve">Optional: at the first couple of points, copy the GUI's angles into 'GUI cmd' to confirm they match Expected.</t>
  </si>
  <si>
    <t xml:space="preserve">c</t>
  </si>
  <si>
    <t xml:space="preserve">Measure each bicep with the protractor into 'Measured'. Positive = bicep DOWN from horizontal.</t>
  </si>
  <si>
    <t xml:space="preserve">Afterwards</t>
  </si>
  <si>
    <t xml:space="preserve">Analysis</t>
  </si>
  <si>
    <t xml:space="preserve">Gives slope/offset per arm, the corrected centre_us and us_per_deg, hysteresis and repeatability.</t>
  </si>
  <si>
    <t xml:space="preserve">Update</t>
  </si>
  <si>
    <t xml:space="preserve">Put the new values in delta_servo/config.h CAL[] AND robot_config.py, reflash, run pytest, then do Off-axis.</t>
  </si>
  <si>
    <t xml:space="preserve">Example row (format only, NOT real data; don't copy into Sweep)</t>
  </si>
  <si>
    <t xml:space="preserve">Pass</t>
  </si>
  <si>
    <t xml:space="preserve">Step</t>
  </si>
  <si>
    <t xml:space="preserve">x (mm)</t>
  </si>
  <si>
    <t xml:space="preserve">y (mm)</t>
  </si>
  <si>
    <t xml:space="preserve">Probe z (mm)</t>
  </si>
  <si>
    <t xml:space="preserve">Expected D9 (°)</t>
  </si>
  <si>
    <t xml:space="preserve">Expected D10 (°)</t>
  </si>
  <si>
    <t xml:space="preserve">Expected D11 (°)</t>
  </si>
  <si>
    <t xml:space="preserve">GUI cmd D9 (°) optional</t>
  </si>
  <si>
    <t xml:space="preserve">GUI cmd D10 (°) optional</t>
  </si>
  <si>
    <t xml:space="preserve">GUI cmd D11 (°) optional</t>
  </si>
  <si>
    <t xml:space="preserve">Measured D9 (°)</t>
  </si>
  <si>
    <t xml:space="preserve">Measured D10 (°)</t>
  </si>
  <si>
    <t xml:space="preserve">Measured D11 (°)</t>
  </si>
  <si>
    <t xml:space="preserve">Error D9 (°)</t>
  </si>
  <si>
    <t xml:space="preserve">Error D10 (°)</t>
  </si>
  <si>
    <t xml:space="preserve">Error D11 (°)</t>
  </si>
  <si>
    <t xml:space="preserve">Up</t>
  </si>
  <si>
    <t xml:space="preserve">Delta robot joint-angle calibration test</t>
  </si>
  <si>
    <t xml:space="preserve">Yellow cells = you fill in. Grey cells = formulas, don't edit.</t>
  </si>
  <si>
    <t xml:space="preserve">Session</t>
  </si>
  <si>
    <t xml:space="preserve">Date</t>
  </si>
  <si>
    <t xml:space="preserve">Tester</t>
  </si>
  <si>
    <t xml:space="preserve">Firmware / GUI build (branch)</t>
  </si>
  <si>
    <t xml:space="preserve">claude/amazing-lovelace-onixrv</t>
  </si>
  <si>
    <t xml:space="preserve">Battery voltage at start (V)</t>
  </si>
  <si>
    <t xml:space="preserve">Battery voltage at end (V)</t>
  </si>
  <si>
    <t xml:space="preserve">Protractor zeroed on</t>
  </si>
  <si>
    <t xml:space="preserve">Base plate</t>
  </si>
  <si>
    <t xml:space="preserve">Bicep face measured</t>
  </si>
  <si>
    <t xml:space="preserve">Geometry (mm)</t>
  </si>
  <si>
    <t xml:space="preserve">SB  base triangle side (servo shafts at side midpoints)</t>
  </si>
  <si>
    <t xml:space="preserve">Source: delta_servo/config.h + robot_config.py (geometry confirmed by user 2026-09-30).</t>
  </si>
  <si>
    <t xml:space="preserve">SP  ball-joint triangle side (joints at corners)</t>
  </si>
  <si>
    <t xml:space="preserve">L_UP  bicep</t>
  </si>
  <si>
    <t xml:space="preserve">L_LO  forearm</t>
  </si>
  <si>
    <t xml:space="preserve">TCP x offset (probe below platform)</t>
  </si>
  <si>
    <t xml:space="preserve">TCP y offset</t>
  </si>
  <si>
    <t xml:space="preserve">TCP z offset</t>
  </si>
  <si>
    <t xml:space="preserve">Derived (IK constants, same as deltarobot.py)</t>
  </si>
  <si>
    <t xml:space="preserve">wb = SB/(2*sqrt3)</t>
  </si>
  <si>
    <t xml:space="preserve">up = SP/sqrt3</t>
  </si>
  <si>
    <t xml:space="preserve">wp = up/2</t>
  </si>
  <si>
    <t xml:space="preserve">a = wb - up</t>
  </si>
  <si>
    <t xml:space="preserve">b = SP/2 - (sqrt3/2)*wb</t>
  </si>
  <si>
    <t xml:space="preserve">c = wp - wb/2</t>
  </si>
  <si>
    <t xml:space="preserve">Calibration currently flashed (from config.h CAL[])</t>
  </si>
  <si>
    <t xml:space="preserve">Arm / pin</t>
  </si>
  <si>
    <t xml:space="preserve">centre_us</t>
  </si>
  <si>
    <t xml:space="preserve">us_per_deg</t>
  </si>
  <si>
    <t xml:space="preserve">dir</t>
  </si>
  <si>
    <t xml:space="preserve">Geometric slot</t>
  </si>
  <si>
    <t xml:space="preserve">D9 (arm 1)</t>
  </si>
  <si>
    <t xml:space="preserve">D10 (arm 2)</t>
  </si>
  <si>
    <t xml:space="preserve">D11 (arm 3)</t>
  </si>
  <si>
    <t xml:space="preserve">Geometric slot = which IK arm position the pin drives (GEOM_TO_PHYS = [2,0,1]): slot 0 is on the model's -y axis. Used only for the expected-angle formulas.</t>
  </si>
  <si>
    <t xml:space="preserve">Corrections on the Analysis sheet assume dir = +1 (true for all three arms right now).</t>
  </si>
  <si>
    <t xml:space="preserve">Error to position conversion</t>
  </si>
  <si>
    <t xml:space="preserve">Probe z error per degree of bicep error (mm/deg), on-axis</t>
  </si>
  <si>
    <t xml:space="preserve">Assumption: 3.0-3.2 mm/deg across z -730..-620 with this geometry (computed from IK); ~2.7 near -570.</t>
  </si>
  <si>
    <t xml:space="preserve">Test 1: on-axis calibration sweep</t>
  </si>
  <si>
    <t xml:space="preserve">Joint mode, 10% speed. Pass Up: -730 to -570 in order, then Pass Down: -570 to -730. Do NOT return Home between points. Wait ~2 s at each point before measuring.</t>
  </si>
  <si>
    <t xml:space="preserve">Only Measured (protractor) is required. Error = measured - expected. GUI cmd is an optional spot check: orange = GUI differs from Expected by &gt;0.2° (wrong build/geometry or wrong column).</t>
  </si>
  <si>
    <t xml:space="preserve">Notes</t>
  </si>
  <si>
    <t xml:space="preserve">Down</t>
  </si>
  <si>
    <t xml:space="preserve">Test 1b: repeatability</t>
  </si>
  <si>
    <t xml:space="preserve">After the sweep: go Home, then to the point; measure; back Home; repeat 3x per point. Always approach from Home.</t>
  </si>
  <si>
    <t xml:space="preserve">Repeat</t>
  </si>
  <si>
    <t xml:space="preserve">Rep 1</t>
  </si>
  <si>
    <t xml:space="preserve">Rep 2</t>
  </si>
  <si>
    <t xml:space="preserve">Rep 3</t>
  </si>
  <si>
    <t xml:space="preserve">Test 2: off-axis check (after updating calibration)</t>
  </si>
  <si>
    <t xml:space="preserve">Each arm is at a different angle here. If a bicep matches a DIFFERENT arm's expected angle, the pin order / GEOM_TO_PHYS remap is wrong.</t>
  </si>
  <si>
    <t xml:space="preserve">Type</t>
  </si>
  <si>
    <t xml:space="preserve">Ref</t>
  </si>
  <si>
    <t xml:space="preserve">Off</t>
  </si>
  <si>
    <t xml:space="preserve">Analysis (fills in automatically)</t>
  </si>
  <si>
    <t xml:space="preserve">Fit: measured = s × expected + o, over both sweep passes. Corrected values make commanded = measured. Paste the corrected values into BOTH delta_servo/config.h CAL[] and robot_config.py, then run pytest tests/.</t>
  </si>
  <si>
    <t xml:space="preserve">Points used</t>
  </si>
  <si>
    <t xml:space="preserve">Mean error (°)</t>
  </si>
  <si>
    <t xml:space="preserve">Max |error| (°)</t>
  </si>
  <si>
    <t xml:space="preserve">Slope s</t>
  </si>
  <si>
    <t xml:space="preserve">Offset o (°)</t>
  </si>
  <si>
    <t xml:space="preserve">R²</t>
  </si>
  <si>
    <t xml:space="preserve">New us_per_deg</t>
  </si>
  <si>
    <t xml:space="preserve">New centre_us</t>
  </si>
  <si>
    <t xml:space="preserve">Change centre (µs)</t>
  </si>
  <si>
    <t xml:space="preserve">Change us/deg (%)</t>
  </si>
  <si>
    <t xml:space="preserve">D9</t>
  </si>
  <si>
    <t xml:space="preserve">D10</t>
  </si>
  <si>
    <t xml:space="preserve">D11</t>
  </si>
  <si>
    <t xml:space="preserve">Rule of thumb: calibration is good when every arm has |mean error| and max |error| under ~0.3°. Needs at least 3 points per arm to fit.</t>
  </si>
  <si>
    <t xml:space="preserve">Hysteresis: error on Up pass minus error on Down pass at the same z</t>
  </si>
  <si>
    <t xml:space="preserve">Up−Down D9 (°)</t>
  </si>
  <si>
    <t xml:space="preserve">Up−Down D10 (°)</t>
  </si>
  <si>
    <t xml:space="preserve">Up−Down D11 (°)</t>
  </si>
  <si>
    <t xml:space="preserve">Mean |hysteresis| (°)</t>
  </si>
  <si>
    <t xml:space="preserve">Max |hysteresis| (°)</t>
  </si>
  <si>
    <t xml:space="preserve">Max |hysteresis| (mm probe z)</t>
  </si>
  <si>
    <t xml:space="preserve">Repeatability: std dev of measured angle over the 3 repeats</t>
  </si>
  <si>
    <t xml:space="preserve">Std dev D9 (°)</t>
  </si>
  <si>
    <t xml:space="preserve">Std dev D10 (°)</t>
  </si>
  <si>
    <t xml:space="preserve">Std dev D11 (°)</t>
  </si>
  <si>
    <t xml:space="preserve">Worst std dev (mm probe z)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</si>
</sst>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00"/>
    <numFmt numFmtId="167" formatCode="\+0.00;\-0.00;0.00"/>
    <numFmt numFmtId="168" formatCode="0"/>
    <numFmt numFmtId="169" formatCode="0.0000"/>
    <numFmt numFmtId="170" formatCode="\+0;\-0;0"/>
    <numFmt numFmtId="171" formatCode="\+0.0%;\-0.0%;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80808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2F2F2"/>
        <bgColor rgb="FFFFFFCC"/>
      </patternFill>
    </fill>
    <fill>
      <patternFill patternType="solid">
        <fgColor rgb="FFF8CBAD"/>
        <bgColor rgb="FFD9E1F2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17" min="3" style="0" width="11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7" t="s">
        <v>6</v>
      </c>
      <c r="B6" s="6" t="s">
        <v>7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8</v>
      </c>
    </row>
    <row r="9" customFormat="false" ht="15" hidden="false" customHeight="false" outlineLevel="0" collapsed="false">
      <c r="A9" s="6" t="s">
        <v>9</v>
      </c>
      <c r="B9" s="6" t="s">
        <v>10</v>
      </c>
    </row>
    <row r="10" customFormat="false" ht="15" hidden="false" customHeight="false" outlineLevel="0" collapsed="false">
      <c r="A10" s="6" t="s">
        <v>11</v>
      </c>
      <c r="B10" s="6" t="s">
        <v>12</v>
      </c>
    </row>
    <row r="11" customFormat="false" ht="15" hidden="false" customHeight="false" outlineLevel="0" collapsed="false">
      <c r="A11" s="6" t="s">
        <v>13</v>
      </c>
      <c r="B11" s="6" t="s">
        <v>14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15</v>
      </c>
    </row>
    <row r="14" customFormat="false" ht="15" hidden="false" customHeight="false" outlineLevel="0" collapsed="false">
      <c r="A14" s="6" t="s">
        <v>16</v>
      </c>
      <c r="B14" s="6" t="s">
        <v>17</v>
      </c>
    </row>
    <row r="15" customFormat="false" ht="15" hidden="false" customHeight="false" outlineLevel="0" collapsed="false">
      <c r="A15" s="6" t="s">
        <v>18</v>
      </c>
      <c r="B15" s="6" t="s">
        <v>19</v>
      </c>
    </row>
    <row r="16" customFormat="false" ht="15" hidden="false" customHeight="false" outlineLevel="0" collapsed="false">
      <c r="A16" s="6" t="s">
        <v>20</v>
      </c>
      <c r="B16" s="6" t="s">
        <v>21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 t="s">
        <v>22</v>
      </c>
    </row>
    <row r="19" customFormat="false" ht="15" hidden="false" customHeight="false" outlineLevel="0" collapsed="false">
      <c r="A19" s="6" t="s">
        <v>23</v>
      </c>
      <c r="B19" s="6" t="s">
        <v>24</v>
      </c>
    </row>
    <row r="20" customFormat="false" ht="15" hidden="false" customHeight="false" outlineLevel="0" collapsed="false">
      <c r="A20" s="6" t="s">
        <v>25</v>
      </c>
      <c r="B20" s="6" t="s">
        <v>26</v>
      </c>
    </row>
    <row r="21" customFormat="false" ht="15" hidden="false" customHeight="false" outlineLevel="0" collapsed="false">
      <c r="A21" s="6" t="s">
        <v>27</v>
      </c>
      <c r="B21" s="6" t="s">
        <v>28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29</v>
      </c>
    </row>
    <row r="24" customFormat="false" ht="15" hidden="false" customHeight="false" outlineLevel="0" collapsed="false">
      <c r="A24" s="6" t="s">
        <v>30</v>
      </c>
      <c r="B24" s="6" t="s">
        <v>31</v>
      </c>
    </row>
    <row r="25" customFormat="false" ht="15" hidden="false" customHeight="false" outlineLevel="0" collapsed="false">
      <c r="A25" s="6" t="s">
        <v>32</v>
      </c>
      <c r="B25" s="6" t="s">
        <v>33</v>
      </c>
    </row>
    <row r="27" customFormat="false" ht="15" hidden="false" customHeight="false" outlineLevel="0" collapsed="false">
      <c r="A27" s="2" t="s">
        <v>34</v>
      </c>
    </row>
    <row r="28" customFormat="false" ht="23.85" hidden="false" customHeight="false" outlineLevel="0" collapsed="false">
      <c r="A28" s="8" t="s">
        <v>35</v>
      </c>
      <c r="B28" s="8" t="s">
        <v>36</v>
      </c>
      <c r="C28" s="8" t="s">
        <v>37</v>
      </c>
      <c r="D28" s="8" t="s">
        <v>38</v>
      </c>
      <c r="E28" s="8" t="s">
        <v>39</v>
      </c>
      <c r="F28" s="8" t="s">
        <v>40</v>
      </c>
      <c r="G28" s="8" t="s">
        <v>41</v>
      </c>
      <c r="H28" s="8" t="s">
        <v>42</v>
      </c>
      <c r="I28" s="8" t="s">
        <v>43</v>
      </c>
      <c r="J28" s="8" t="s">
        <v>44</v>
      </c>
      <c r="K28" s="8" t="s">
        <v>45</v>
      </c>
      <c r="L28" s="8" t="s">
        <v>46</v>
      </c>
      <c r="M28" s="8" t="s">
        <v>47</v>
      </c>
      <c r="N28" s="8" t="s">
        <v>48</v>
      </c>
      <c r="O28" s="8" t="s">
        <v>49</v>
      </c>
      <c r="P28" s="8" t="s">
        <v>50</v>
      </c>
      <c r="Q28" s="8" t="s">
        <v>51</v>
      </c>
    </row>
    <row r="29" customFormat="false" ht="15" hidden="false" customHeight="false" outlineLevel="0" collapsed="false">
      <c r="A29" s="9" t="s">
        <v>52</v>
      </c>
      <c r="B29" s="9" t="n">
        <v>1</v>
      </c>
      <c r="C29" s="9" t="n">
        <v>0</v>
      </c>
      <c r="D29" s="9" t="n">
        <v>0</v>
      </c>
      <c r="E29" s="9" t="n">
        <v>-730</v>
      </c>
      <c r="F29" s="10" t="n">
        <v>35.44</v>
      </c>
      <c r="G29" s="10" t="n">
        <v>35.44</v>
      </c>
      <c r="H29" s="10" t="n">
        <v>35.44</v>
      </c>
      <c r="I29" s="10" t="n">
        <v>35.44</v>
      </c>
      <c r="J29" s="10" t="n">
        <v>35.44</v>
      </c>
      <c r="K29" s="10" t="n">
        <v>35.44</v>
      </c>
      <c r="L29" s="10" t="n">
        <v>35.9</v>
      </c>
      <c r="M29" s="10" t="n">
        <v>34.6</v>
      </c>
      <c r="N29" s="10" t="n">
        <v>35.5</v>
      </c>
      <c r="O29" s="10" t="n">
        <v>0.46</v>
      </c>
      <c r="P29" s="10" t="n">
        <v>-0.84</v>
      </c>
      <c r="Q29" s="10" t="n">
        <v>0.06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6" t="s">
        <v>54</v>
      </c>
    </row>
    <row r="4" customFormat="false" ht="15" hidden="false" customHeight="false" outlineLevel="0" collapsed="false">
      <c r="A4" s="2" t="s">
        <v>55</v>
      </c>
    </row>
    <row r="5" customFormat="false" ht="15" hidden="false" customHeight="false" outlineLevel="0" collapsed="false">
      <c r="A5" s="6" t="s">
        <v>56</v>
      </c>
      <c r="B5" s="11"/>
    </row>
    <row r="6" customFormat="false" ht="15" hidden="false" customHeight="false" outlineLevel="0" collapsed="false">
      <c r="A6" s="6" t="s">
        <v>57</v>
      </c>
      <c r="B6" s="11"/>
    </row>
    <row r="7" customFormat="false" ht="15" hidden="false" customHeight="false" outlineLevel="0" collapsed="false">
      <c r="A7" s="6" t="s">
        <v>58</v>
      </c>
      <c r="B7" s="11" t="s">
        <v>59</v>
      </c>
    </row>
    <row r="8" customFormat="false" ht="15" hidden="false" customHeight="false" outlineLevel="0" collapsed="false">
      <c r="A8" s="6" t="s">
        <v>60</v>
      </c>
      <c r="B8" s="11"/>
    </row>
    <row r="9" customFormat="false" ht="15" hidden="false" customHeight="false" outlineLevel="0" collapsed="false">
      <c r="A9" s="6" t="s">
        <v>61</v>
      </c>
      <c r="B9" s="11"/>
    </row>
    <row r="10" customFormat="false" ht="15" hidden="false" customHeight="false" outlineLevel="0" collapsed="false">
      <c r="A10" s="6" t="s">
        <v>62</v>
      </c>
      <c r="B10" s="11" t="s">
        <v>63</v>
      </c>
    </row>
    <row r="11" customFormat="false" ht="15" hidden="false" customHeight="false" outlineLevel="0" collapsed="false">
      <c r="A11" s="6" t="s">
        <v>64</v>
      </c>
      <c r="B11" s="11"/>
    </row>
    <row r="13" customFormat="false" ht="15" hidden="false" customHeight="false" outlineLevel="0" collapsed="false">
      <c r="A13" s="2" t="s">
        <v>65</v>
      </c>
    </row>
    <row r="14" customFormat="false" ht="15" hidden="false" customHeight="false" outlineLevel="0" collapsed="false">
      <c r="A14" s="6" t="s">
        <v>66</v>
      </c>
      <c r="B14" s="11" t="n">
        <v>175</v>
      </c>
      <c r="C14" s="12" t="s">
        <v>67</v>
      </c>
    </row>
    <row r="15" customFormat="false" ht="15" hidden="false" customHeight="false" outlineLevel="0" collapsed="false">
      <c r="A15" s="6" t="s">
        <v>68</v>
      </c>
      <c r="B15" s="11" t="n">
        <v>75</v>
      </c>
    </row>
    <row r="16" customFormat="false" ht="15" hidden="false" customHeight="false" outlineLevel="0" collapsed="false">
      <c r="A16" s="6" t="s">
        <v>69</v>
      </c>
      <c r="B16" s="11" t="n">
        <v>177</v>
      </c>
    </row>
    <row r="17" customFormat="false" ht="15" hidden="false" customHeight="false" outlineLevel="0" collapsed="false">
      <c r="A17" s="6" t="s">
        <v>70</v>
      </c>
      <c r="B17" s="11" t="n">
        <v>625</v>
      </c>
    </row>
    <row r="18" customFormat="false" ht="15" hidden="false" customHeight="false" outlineLevel="0" collapsed="false">
      <c r="A18" s="6" t="s">
        <v>71</v>
      </c>
      <c r="B18" s="11" t="n">
        <v>0</v>
      </c>
    </row>
    <row r="19" customFormat="false" ht="15" hidden="false" customHeight="false" outlineLevel="0" collapsed="false">
      <c r="A19" s="6" t="s">
        <v>72</v>
      </c>
      <c r="B19" s="11" t="n">
        <v>0</v>
      </c>
    </row>
    <row r="20" customFormat="false" ht="15" hidden="false" customHeight="false" outlineLevel="0" collapsed="false">
      <c r="A20" s="6" t="s">
        <v>73</v>
      </c>
      <c r="B20" s="11" t="n">
        <v>-21</v>
      </c>
    </row>
    <row r="22" customFormat="false" ht="15" hidden="false" customHeight="false" outlineLevel="0" collapsed="false">
      <c r="A22" s="2" t="s">
        <v>74</v>
      </c>
    </row>
    <row r="23" customFormat="false" ht="15" hidden="false" customHeight="false" outlineLevel="0" collapsed="false">
      <c r="A23" s="6" t="s">
        <v>75</v>
      </c>
      <c r="B23" s="13" t="n">
        <f aca="false">B14/(2*SQRT(3))</f>
        <v>50.5181485540923</v>
      </c>
    </row>
    <row r="24" customFormat="false" ht="15" hidden="false" customHeight="false" outlineLevel="0" collapsed="false">
      <c r="A24" s="6" t="s">
        <v>76</v>
      </c>
      <c r="B24" s="13" t="n">
        <f aca="false">B15/SQRT(3)</f>
        <v>43.3012701892219</v>
      </c>
    </row>
    <row r="25" customFormat="false" ht="15" hidden="false" customHeight="false" outlineLevel="0" collapsed="false">
      <c r="A25" s="6" t="s">
        <v>77</v>
      </c>
      <c r="B25" s="13" t="n">
        <f aca="false">B24/2</f>
        <v>21.650635094611</v>
      </c>
    </row>
    <row r="26" customFormat="false" ht="15" hidden="false" customHeight="false" outlineLevel="0" collapsed="false">
      <c r="A26" s="6" t="s">
        <v>78</v>
      </c>
      <c r="B26" s="13" t="n">
        <f aca="false">B23-B24</f>
        <v>7.21687836487032</v>
      </c>
    </row>
    <row r="27" customFormat="false" ht="15" hidden="false" customHeight="false" outlineLevel="0" collapsed="false">
      <c r="A27" s="6" t="s">
        <v>79</v>
      </c>
      <c r="B27" s="13" t="n">
        <f aca="false">B15/2-SQRT(3)/2*B23</f>
        <v>-6.25</v>
      </c>
    </row>
    <row r="28" customFormat="false" ht="15" hidden="false" customHeight="false" outlineLevel="0" collapsed="false">
      <c r="A28" s="6" t="s">
        <v>80</v>
      </c>
      <c r="B28" s="13" t="n">
        <f aca="false">B25-B23/2</f>
        <v>-3.60843918243516</v>
      </c>
    </row>
    <row r="30" customFormat="false" ht="15" hidden="false" customHeight="false" outlineLevel="0" collapsed="false">
      <c r="A30" s="2" t="s">
        <v>81</v>
      </c>
    </row>
    <row r="31" customFormat="false" ht="15" hidden="false" customHeight="false" outlineLevel="0" collapsed="false">
      <c r="A31" s="8" t="s">
        <v>82</v>
      </c>
      <c r="B31" s="8" t="s">
        <v>83</v>
      </c>
      <c r="C31" s="8" t="s">
        <v>84</v>
      </c>
      <c r="D31" s="8" t="s">
        <v>85</v>
      </c>
      <c r="E31" s="8" t="s">
        <v>86</v>
      </c>
    </row>
    <row r="32" customFormat="false" ht="15" hidden="false" customHeight="false" outlineLevel="0" collapsed="false">
      <c r="A32" s="6" t="s">
        <v>87</v>
      </c>
      <c r="B32" s="11" t="n">
        <v>1456</v>
      </c>
      <c r="C32" s="11" t="n">
        <v>9.8315</v>
      </c>
      <c r="D32" s="11" t="n">
        <v>1</v>
      </c>
      <c r="E32" s="14" t="n">
        <v>1</v>
      </c>
    </row>
    <row r="33" customFormat="false" ht="15" hidden="false" customHeight="false" outlineLevel="0" collapsed="false">
      <c r="A33" s="6" t="s">
        <v>88</v>
      </c>
      <c r="B33" s="11" t="n">
        <v>1373</v>
      </c>
      <c r="C33" s="11" t="n">
        <v>9.7664</v>
      </c>
      <c r="D33" s="11" t="n">
        <v>1</v>
      </c>
      <c r="E33" s="14" t="n">
        <v>2</v>
      </c>
    </row>
    <row r="34" customFormat="false" ht="15" hidden="false" customHeight="false" outlineLevel="0" collapsed="false">
      <c r="A34" s="6" t="s">
        <v>89</v>
      </c>
      <c r="B34" s="11" t="n">
        <v>1393</v>
      </c>
      <c r="C34" s="11" t="n">
        <v>9.6658</v>
      </c>
      <c r="D34" s="11" t="n">
        <v>1</v>
      </c>
      <c r="E34" s="14" t="n">
        <v>0</v>
      </c>
    </row>
    <row r="36" customFormat="false" ht="15" hidden="false" customHeight="false" outlineLevel="0" collapsed="false">
      <c r="A36" s="12" t="s">
        <v>90</v>
      </c>
    </row>
    <row r="37" customFormat="false" ht="15" hidden="false" customHeight="false" outlineLevel="0" collapsed="false">
      <c r="A37" s="12" t="s">
        <v>91</v>
      </c>
    </row>
    <row r="39" customFormat="false" ht="15" hidden="false" customHeight="false" outlineLevel="0" collapsed="false">
      <c r="A39" s="2" t="s">
        <v>92</v>
      </c>
    </row>
    <row r="40" customFormat="false" ht="15" hidden="false" customHeight="false" outlineLevel="0" collapsed="false">
      <c r="A40" s="0" t="s">
        <v>93</v>
      </c>
      <c r="B40" s="11" t="n">
        <v>3.1</v>
      </c>
      <c r="C40" s="1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14" min="6" style="0" width="11"/>
    <col collapsed="false" customWidth="true" hidden="false" outlineLevel="0" max="17" min="15" style="0" width="10"/>
    <col collapsed="false" customWidth="true" hidden="false" outlineLevel="0" max="18" min="18" style="0" width="30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6" t="s">
        <v>96</v>
      </c>
    </row>
    <row r="3" customFormat="false" ht="15" hidden="false" customHeight="false" outlineLevel="0" collapsed="false">
      <c r="A3" s="12" t="s">
        <v>97</v>
      </c>
    </row>
    <row r="5" customFormat="false" ht="31.5" hidden="false" customHeight="true" outlineLevel="0" collapsed="false">
      <c r="A5" s="8" t="s">
        <v>35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8" t="s">
        <v>42</v>
      </c>
      <c r="I5" s="8" t="s">
        <v>43</v>
      </c>
      <c r="J5" s="8" t="s">
        <v>44</v>
      </c>
      <c r="K5" s="8" t="s">
        <v>45</v>
      </c>
      <c r="L5" s="8" t="s">
        <v>46</v>
      </c>
      <c r="M5" s="8" t="s">
        <v>47</v>
      </c>
      <c r="N5" s="8" t="s">
        <v>48</v>
      </c>
      <c r="O5" s="8" t="s">
        <v>49</v>
      </c>
      <c r="P5" s="8" t="s">
        <v>50</v>
      </c>
      <c r="Q5" s="8" t="s">
        <v>51</v>
      </c>
      <c r="R5" s="8" t="s">
        <v>98</v>
      </c>
    </row>
    <row r="6" customFormat="false" ht="15" hidden="false" customHeight="false" outlineLevel="0" collapsed="false">
      <c r="A6" s="15" t="s">
        <v>52</v>
      </c>
      <c r="B6" s="15" t="n">
        <v>1</v>
      </c>
      <c r="C6" s="15" t="n">
        <v>0</v>
      </c>
      <c r="D6" s="15" t="n">
        <v>0</v>
      </c>
      <c r="E6" s="15" t="n">
        <v>-730</v>
      </c>
      <c r="F6" s="16" t="n">
        <f aca="false">IF(OR(E6="",((-Setup!$B$16*(SQRT(3)*((C6-Setup!$B$18)+Setup!$B$27)+(D6-Setup!$B$19)+Setup!$B$28))^2+(2*(E6-Setup!$B$20)*Setup!$B$16)^2-(((C6-Setup!$B$18)^2+(D6-Setup!$B$19)^2+(E6-Setup!$B$20)^2)+Setup!$B$27^2+Setup!$B$28^2+Setup!$B$16^2+2*(C6-Setup!$B$18)*Setup!$B$27+2*(D6-Setup!$B$19)*Setup!$B$28-Setup!$B$17^2)^2)&lt;0),"",DEGREES(2*ATAN((-(2*(E6-Setup!$B$20)*Setup!$B$16)-SQRT(((-Setup!$B$16*(SQRT(3)*((C6-Setup!$B$18)+Setup!$B$27)+(D6-Setup!$B$19)+Setup!$B$28))^2+(2*(E6-Setup!$B$20)*Setup!$B$16)^2-(((C6-Setup!$B$18)^2+(D6-Setup!$B$19)^2+(E6-Setup!$B$20)^2)+Setup!$B$27^2+Setup!$B$28^2+Setup!$B$16^2+2*(C6-Setup!$B$18)*Setup!$B$27+2*(D6-Setup!$B$19)*Setup!$B$28-Setup!$B$17^2)^2)))/((((C6-Setup!$B$18)^2+(D6-Setup!$B$19)^2+(E6-Setup!$B$20)^2)+Setup!$B$27^2+Setup!$B$28^2+Setup!$B$16^2+2*(C6-Setup!$B$18)*Setup!$B$27+2*(D6-Setup!$B$19)*Setup!$B$28-Setup!$B$17^2)-(-Setup!$B$16*(SQRT(3)*((C6-Setup!$B$18)+Setup!$B$27)+(D6-Setup!$B$19)+Setup!$B$28))))))</f>
        <v>35.4356218429757</v>
      </c>
      <c r="G6" s="16" t="n">
        <f aca="false">IF(OR(E6="",((Setup!$B$16*(SQRT(3)*((C6-Setup!$B$18)-Setup!$B$27)-(D6-Setup!$B$19)-Setup!$B$28))^2+(2*(E6-Setup!$B$20)*Setup!$B$16)^2-(((C6-Setup!$B$18)^2+(D6-Setup!$B$19)^2+(E6-Setup!$B$20)^2)+Setup!$B$27^2+Setup!$B$28^2+Setup!$B$16^2-2*(C6-Setup!$B$18)*Setup!$B$27+2*(D6-Setup!$B$19)*Setup!$B$28-Setup!$B$17^2)^2)&lt;0),"",DEGREES(2*ATAN((-(2*(E6-Setup!$B$20)*Setup!$B$16)-SQRT(((Setup!$B$16*(SQRT(3)*((C6-Setup!$B$18)-Setup!$B$27)-(D6-Setup!$B$19)-Setup!$B$28))^2+(2*(E6-Setup!$B$20)*Setup!$B$16)^2-(((C6-Setup!$B$18)^2+(D6-Setup!$B$19)^2+(E6-Setup!$B$20)^2)+Setup!$B$27^2+Setup!$B$28^2+Setup!$B$16^2-2*(C6-Setup!$B$18)*Setup!$B$27+2*(D6-Setup!$B$19)*Setup!$B$28-Setup!$B$17^2)^2)))/((((C6-Setup!$B$18)^2+(D6-Setup!$B$19)^2+(E6-Setup!$B$20)^2)+Setup!$B$27^2+Setup!$B$28^2+Setup!$B$16^2-2*(C6-Setup!$B$18)*Setup!$B$27+2*(D6-Setup!$B$19)*Setup!$B$28-Setup!$B$17^2)-(Setup!$B$16*(SQRT(3)*((C6-Setup!$B$18)-Setup!$B$27)-(D6-Setup!$B$19)-Setup!$B$28))))))</f>
        <v>35.4356218429757</v>
      </c>
      <c r="H6" s="16" t="n">
        <f aca="false">IF(OR(E6="",((2*Setup!$B$16*((D6-Setup!$B$19)+Setup!$B$26))^2+(2*(E6-Setup!$B$20)*Setup!$B$16)^2-(((C6-Setup!$B$18)^2+(D6-Setup!$B$19)^2+(E6-Setup!$B$20)^2)+Setup!$B$26^2+Setup!$B$16^2+2*(D6-Setup!$B$19)*Setup!$B$26-Setup!$B$17^2)^2)&lt;0),"",DEGREES(2*ATAN((-(2*(E6-Setup!$B$20)*Setup!$B$16)-SQRT(((2*Setup!$B$16*((D6-Setup!$B$19)+Setup!$B$26))^2+(2*(E6-Setup!$B$20)*Setup!$B$16)^2-(((C6-Setup!$B$18)^2+(D6-Setup!$B$19)^2+(E6-Setup!$B$20)^2)+Setup!$B$26^2+Setup!$B$16^2+2*(D6-Setup!$B$19)*Setup!$B$26-Setup!$B$17^2)^2)))/((((C6-Setup!$B$18)^2+(D6-Setup!$B$19)^2+(E6-Setup!$B$20)^2)+Setup!$B$26^2+Setup!$B$16^2+2*(D6-Setup!$B$19)*Setup!$B$26-Setup!$B$17^2)-(2*Setup!$B$16*((D6-Setup!$B$19)+Setup!$B$26))))))</f>
        <v>35.4356218429757</v>
      </c>
      <c r="I6" s="17"/>
      <c r="J6" s="17"/>
      <c r="K6" s="17"/>
      <c r="L6" s="17"/>
      <c r="M6" s="17"/>
      <c r="N6" s="17"/>
      <c r="O6" s="18" t="str">
        <f aca="false">IF(OR(L6="",F6=""),"",L6-F6)</f>
        <v/>
      </c>
      <c r="P6" s="18" t="str">
        <f aca="false">IF(OR(M6="",G6=""),"",M6-G6)</f>
        <v/>
      </c>
      <c r="Q6" s="18" t="str">
        <f aca="false">IF(OR(N6="",H6=""),"",N6-H6)</f>
        <v/>
      </c>
      <c r="R6" s="11"/>
    </row>
    <row r="7" customFormat="false" ht="15" hidden="false" customHeight="false" outlineLevel="0" collapsed="false">
      <c r="A7" s="15" t="s">
        <v>52</v>
      </c>
      <c r="B7" s="15" t="n">
        <v>2</v>
      </c>
      <c r="C7" s="15" t="n">
        <v>0</v>
      </c>
      <c r="D7" s="15" t="n">
        <v>0</v>
      </c>
      <c r="E7" s="15" t="n">
        <v>-720</v>
      </c>
      <c r="F7" s="16" t="n">
        <f aca="false">IF(OR(E7="",((-Setup!$B$16*(SQRT(3)*((C7-Setup!$B$18)+Setup!$B$27)+(D7-Setup!$B$19)+Setup!$B$28))^2+(2*(E7-Setup!$B$20)*Setup!$B$16)^2-(((C7-Setup!$B$18)^2+(D7-Setup!$B$19)^2+(E7-Setup!$B$20)^2)+Setup!$B$27^2+Setup!$B$28^2+Setup!$B$16^2+2*(C7-Setup!$B$18)*Setup!$B$27+2*(D7-Setup!$B$19)*Setup!$B$28-Setup!$B$17^2)^2)&lt;0),"",DEGREES(2*ATAN((-(2*(E7-Setup!$B$20)*Setup!$B$16)-SQRT(((-Setup!$B$16*(SQRT(3)*((C7-Setup!$B$18)+Setup!$B$27)+(D7-Setup!$B$19)+Setup!$B$28))^2+(2*(E7-Setup!$B$20)*Setup!$B$16)^2-(((C7-Setup!$B$18)^2+(D7-Setup!$B$19)^2+(E7-Setup!$B$20)^2)+Setup!$B$27^2+Setup!$B$28^2+Setup!$B$16^2+2*(C7-Setup!$B$18)*Setup!$B$27+2*(D7-Setup!$B$19)*Setup!$B$28-Setup!$B$17^2)^2)))/((((C7-Setup!$B$18)^2+(D7-Setup!$B$19)^2+(E7-Setup!$B$20)^2)+Setup!$B$27^2+Setup!$B$28^2+Setup!$B$16^2+2*(C7-Setup!$B$18)*Setup!$B$27+2*(D7-Setup!$B$19)*Setup!$B$28-Setup!$B$17^2)-(-Setup!$B$16*(SQRT(3)*((C7-Setup!$B$18)+Setup!$B$27)+(D7-Setup!$B$19)+Setup!$B$28))))))</f>
        <v>32.1078315922236</v>
      </c>
      <c r="G7" s="16" t="n">
        <f aca="false">IF(OR(E7="",((Setup!$B$16*(SQRT(3)*((C7-Setup!$B$18)-Setup!$B$27)-(D7-Setup!$B$19)-Setup!$B$28))^2+(2*(E7-Setup!$B$20)*Setup!$B$16)^2-(((C7-Setup!$B$18)^2+(D7-Setup!$B$19)^2+(E7-Setup!$B$20)^2)+Setup!$B$27^2+Setup!$B$28^2+Setup!$B$16^2-2*(C7-Setup!$B$18)*Setup!$B$27+2*(D7-Setup!$B$19)*Setup!$B$28-Setup!$B$17^2)^2)&lt;0),"",DEGREES(2*ATAN((-(2*(E7-Setup!$B$20)*Setup!$B$16)-SQRT(((Setup!$B$16*(SQRT(3)*((C7-Setup!$B$18)-Setup!$B$27)-(D7-Setup!$B$19)-Setup!$B$28))^2+(2*(E7-Setup!$B$20)*Setup!$B$16)^2-(((C7-Setup!$B$18)^2+(D7-Setup!$B$19)^2+(E7-Setup!$B$20)^2)+Setup!$B$27^2+Setup!$B$28^2+Setup!$B$16^2-2*(C7-Setup!$B$18)*Setup!$B$27+2*(D7-Setup!$B$19)*Setup!$B$28-Setup!$B$17^2)^2)))/((((C7-Setup!$B$18)^2+(D7-Setup!$B$19)^2+(E7-Setup!$B$20)^2)+Setup!$B$27^2+Setup!$B$28^2+Setup!$B$16^2-2*(C7-Setup!$B$18)*Setup!$B$27+2*(D7-Setup!$B$19)*Setup!$B$28-Setup!$B$17^2)-(Setup!$B$16*(SQRT(3)*((C7-Setup!$B$18)-Setup!$B$27)-(D7-Setup!$B$19)-Setup!$B$28))))))</f>
        <v>32.1078315922236</v>
      </c>
      <c r="H7" s="16" t="n">
        <f aca="false">IF(OR(E7="",((2*Setup!$B$16*((D7-Setup!$B$19)+Setup!$B$26))^2+(2*(E7-Setup!$B$20)*Setup!$B$16)^2-(((C7-Setup!$B$18)^2+(D7-Setup!$B$19)^2+(E7-Setup!$B$20)^2)+Setup!$B$26^2+Setup!$B$16^2+2*(D7-Setup!$B$19)*Setup!$B$26-Setup!$B$17^2)^2)&lt;0),"",DEGREES(2*ATAN((-(2*(E7-Setup!$B$20)*Setup!$B$16)-SQRT(((2*Setup!$B$16*((D7-Setup!$B$19)+Setup!$B$26))^2+(2*(E7-Setup!$B$20)*Setup!$B$16)^2-(((C7-Setup!$B$18)^2+(D7-Setup!$B$19)^2+(E7-Setup!$B$20)^2)+Setup!$B$26^2+Setup!$B$16^2+2*(D7-Setup!$B$19)*Setup!$B$26-Setup!$B$17^2)^2)))/((((C7-Setup!$B$18)^2+(D7-Setup!$B$19)^2+(E7-Setup!$B$20)^2)+Setup!$B$26^2+Setup!$B$16^2+2*(D7-Setup!$B$19)*Setup!$B$26-Setup!$B$17^2)-(2*Setup!$B$16*((D7-Setup!$B$19)+Setup!$B$26))))))</f>
        <v>32.1078315922236</v>
      </c>
      <c r="I7" s="17"/>
      <c r="J7" s="17"/>
      <c r="K7" s="17"/>
      <c r="L7" s="17"/>
      <c r="M7" s="17"/>
      <c r="N7" s="17"/>
      <c r="O7" s="18" t="str">
        <f aca="false">IF(OR(L7="",F7=""),"",L7-F7)</f>
        <v/>
      </c>
      <c r="P7" s="18" t="str">
        <f aca="false">IF(OR(M7="",G7=""),"",M7-G7)</f>
        <v/>
      </c>
      <c r="Q7" s="18" t="str">
        <f aca="false">IF(OR(N7="",H7=""),"",N7-H7)</f>
        <v/>
      </c>
      <c r="R7" s="11"/>
    </row>
    <row r="8" customFormat="false" ht="15" hidden="false" customHeight="false" outlineLevel="0" collapsed="false">
      <c r="A8" s="15" t="s">
        <v>52</v>
      </c>
      <c r="B8" s="15" t="n">
        <v>3</v>
      </c>
      <c r="C8" s="15" t="n">
        <v>0</v>
      </c>
      <c r="D8" s="15" t="n">
        <v>0</v>
      </c>
      <c r="E8" s="15" t="n">
        <v>-710</v>
      </c>
      <c r="F8" s="16" t="n">
        <f aca="false">IF(OR(E8="",((-Setup!$B$16*(SQRT(3)*((C8-Setup!$B$18)+Setup!$B$27)+(D8-Setup!$B$19)+Setup!$B$28))^2+(2*(E8-Setup!$B$20)*Setup!$B$16)^2-(((C8-Setup!$B$18)^2+(D8-Setup!$B$19)^2+(E8-Setup!$B$20)^2)+Setup!$B$27^2+Setup!$B$28^2+Setup!$B$16^2+2*(C8-Setup!$B$18)*Setup!$B$27+2*(D8-Setup!$B$19)*Setup!$B$28-Setup!$B$17^2)^2)&lt;0),"",DEGREES(2*ATAN((-(2*(E8-Setup!$B$20)*Setup!$B$16)-SQRT(((-Setup!$B$16*(SQRT(3)*((C8-Setup!$B$18)+Setup!$B$27)+(D8-Setup!$B$19)+Setup!$B$28))^2+(2*(E8-Setup!$B$20)*Setup!$B$16)^2-(((C8-Setup!$B$18)^2+(D8-Setup!$B$19)^2+(E8-Setup!$B$20)^2)+Setup!$B$27^2+Setup!$B$28^2+Setup!$B$16^2+2*(C8-Setup!$B$18)*Setup!$B$27+2*(D8-Setup!$B$19)*Setup!$B$28-Setup!$B$17^2)^2)))/((((C8-Setup!$B$18)^2+(D8-Setup!$B$19)^2+(E8-Setup!$B$20)^2)+Setup!$B$27^2+Setup!$B$28^2+Setup!$B$16^2+2*(C8-Setup!$B$18)*Setup!$B$27+2*(D8-Setup!$B$19)*Setup!$B$28-Setup!$B$17^2)-(-Setup!$B$16*(SQRT(3)*((C8-Setup!$B$18)+Setup!$B$27)+(D8-Setup!$B$19)+Setup!$B$28))))))</f>
        <v>28.8568500274714</v>
      </c>
      <c r="G8" s="16" t="n">
        <f aca="false">IF(OR(E8="",((Setup!$B$16*(SQRT(3)*((C8-Setup!$B$18)-Setup!$B$27)-(D8-Setup!$B$19)-Setup!$B$28))^2+(2*(E8-Setup!$B$20)*Setup!$B$16)^2-(((C8-Setup!$B$18)^2+(D8-Setup!$B$19)^2+(E8-Setup!$B$20)^2)+Setup!$B$27^2+Setup!$B$28^2+Setup!$B$16^2-2*(C8-Setup!$B$18)*Setup!$B$27+2*(D8-Setup!$B$19)*Setup!$B$28-Setup!$B$17^2)^2)&lt;0),"",DEGREES(2*ATAN((-(2*(E8-Setup!$B$20)*Setup!$B$16)-SQRT(((Setup!$B$16*(SQRT(3)*((C8-Setup!$B$18)-Setup!$B$27)-(D8-Setup!$B$19)-Setup!$B$28))^2+(2*(E8-Setup!$B$20)*Setup!$B$16)^2-(((C8-Setup!$B$18)^2+(D8-Setup!$B$19)^2+(E8-Setup!$B$20)^2)+Setup!$B$27^2+Setup!$B$28^2+Setup!$B$16^2-2*(C8-Setup!$B$18)*Setup!$B$27+2*(D8-Setup!$B$19)*Setup!$B$28-Setup!$B$17^2)^2)))/((((C8-Setup!$B$18)^2+(D8-Setup!$B$19)^2+(E8-Setup!$B$20)^2)+Setup!$B$27^2+Setup!$B$28^2+Setup!$B$16^2-2*(C8-Setup!$B$18)*Setup!$B$27+2*(D8-Setup!$B$19)*Setup!$B$28-Setup!$B$17^2)-(Setup!$B$16*(SQRT(3)*((C8-Setup!$B$18)-Setup!$B$27)-(D8-Setup!$B$19)-Setup!$B$28))))))</f>
        <v>28.8568500274714</v>
      </c>
      <c r="H8" s="16" t="n">
        <f aca="false">IF(OR(E8="",((2*Setup!$B$16*((D8-Setup!$B$19)+Setup!$B$26))^2+(2*(E8-Setup!$B$20)*Setup!$B$16)^2-(((C8-Setup!$B$18)^2+(D8-Setup!$B$19)^2+(E8-Setup!$B$20)^2)+Setup!$B$26^2+Setup!$B$16^2+2*(D8-Setup!$B$19)*Setup!$B$26-Setup!$B$17^2)^2)&lt;0),"",DEGREES(2*ATAN((-(2*(E8-Setup!$B$20)*Setup!$B$16)-SQRT(((2*Setup!$B$16*((D8-Setup!$B$19)+Setup!$B$26))^2+(2*(E8-Setup!$B$20)*Setup!$B$16)^2-(((C8-Setup!$B$18)^2+(D8-Setup!$B$19)^2+(E8-Setup!$B$20)^2)+Setup!$B$26^2+Setup!$B$16^2+2*(D8-Setup!$B$19)*Setup!$B$26-Setup!$B$17^2)^2)))/((((C8-Setup!$B$18)^2+(D8-Setup!$B$19)^2+(E8-Setup!$B$20)^2)+Setup!$B$26^2+Setup!$B$16^2+2*(D8-Setup!$B$19)*Setup!$B$26-Setup!$B$17^2)-(2*Setup!$B$16*((D8-Setup!$B$19)+Setup!$B$26))))))</f>
        <v>28.8568500274714</v>
      </c>
      <c r="I8" s="17"/>
      <c r="J8" s="17"/>
      <c r="K8" s="17"/>
      <c r="L8" s="17"/>
      <c r="M8" s="17"/>
      <c r="N8" s="17"/>
      <c r="O8" s="18" t="str">
        <f aca="false">IF(OR(L8="",F8=""),"",L8-F8)</f>
        <v/>
      </c>
      <c r="P8" s="18" t="str">
        <f aca="false">IF(OR(M8="",G8=""),"",M8-G8)</f>
        <v/>
      </c>
      <c r="Q8" s="18" t="str">
        <f aca="false">IF(OR(N8="",H8=""),"",N8-H8)</f>
        <v/>
      </c>
      <c r="R8" s="11"/>
    </row>
    <row r="9" customFormat="false" ht="15" hidden="false" customHeight="false" outlineLevel="0" collapsed="false">
      <c r="A9" s="15" t="s">
        <v>52</v>
      </c>
      <c r="B9" s="15" t="n">
        <v>4</v>
      </c>
      <c r="C9" s="15" t="n">
        <v>0</v>
      </c>
      <c r="D9" s="15" t="n">
        <v>0</v>
      </c>
      <c r="E9" s="15" t="n">
        <v>-700</v>
      </c>
      <c r="F9" s="16" t="n">
        <f aca="false">IF(OR(E9="",((-Setup!$B$16*(SQRT(3)*((C9-Setup!$B$18)+Setup!$B$27)+(D9-Setup!$B$19)+Setup!$B$28))^2+(2*(E9-Setup!$B$20)*Setup!$B$16)^2-(((C9-Setup!$B$18)^2+(D9-Setup!$B$19)^2+(E9-Setup!$B$20)^2)+Setup!$B$27^2+Setup!$B$28^2+Setup!$B$16^2+2*(C9-Setup!$B$18)*Setup!$B$27+2*(D9-Setup!$B$19)*Setup!$B$28-Setup!$B$17^2)^2)&lt;0),"",DEGREES(2*ATAN((-(2*(E9-Setup!$B$20)*Setup!$B$16)-SQRT(((-Setup!$B$16*(SQRT(3)*((C9-Setup!$B$18)+Setup!$B$27)+(D9-Setup!$B$19)+Setup!$B$28))^2+(2*(E9-Setup!$B$20)*Setup!$B$16)^2-(((C9-Setup!$B$18)^2+(D9-Setup!$B$19)^2+(E9-Setup!$B$20)^2)+Setup!$B$27^2+Setup!$B$28^2+Setup!$B$16^2+2*(C9-Setup!$B$18)*Setup!$B$27+2*(D9-Setup!$B$19)*Setup!$B$28-Setup!$B$17^2)^2)))/((((C9-Setup!$B$18)^2+(D9-Setup!$B$19)^2+(E9-Setup!$B$20)^2)+Setup!$B$27^2+Setup!$B$28^2+Setup!$B$16^2+2*(C9-Setup!$B$18)*Setup!$B$27+2*(D9-Setup!$B$19)*Setup!$B$28-Setup!$B$17^2)-(-Setup!$B$16*(SQRT(3)*((C9-Setup!$B$18)+Setup!$B$27)+(D9-Setup!$B$19)+Setup!$B$28))))))</f>
        <v>25.6637462156458</v>
      </c>
      <c r="G9" s="16" t="n">
        <f aca="false">IF(OR(E9="",((Setup!$B$16*(SQRT(3)*((C9-Setup!$B$18)-Setup!$B$27)-(D9-Setup!$B$19)-Setup!$B$28))^2+(2*(E9-Setup!$B$20)*Setup!$B$16)^2-(((C9-Setup!$B$18)^2+(D9-Setup!$B$19)^2+(E9-Setup!$B$20)^2)+Setup!$B$27^2+Setup!$B$28^2+Setup!$B$16^2-2*(C9-Setup!$B$18)*Setup!$B$27+2*(D9-Setup!$B$19)*Setup!$B$28-Setup!$B$17^2)^2)&lt;0),"",DEGREES(2*ATAN((-(2*(E9-Setup!$B$20)*Setup!$B$16)-SQRT(((Setup!$B$16*(SQRT(3)*((C9-Setup!$B$18)-Setup!$B$27)-(D9-Setup!$B$19)-Setup!$B$28))^2+(2*(E9-Setup!$B$20)*Setup!$B$16)^2-(((C9-Setup!$B$18)^2+(D9-Setup!$B$19)^2+(E9-Setup!$B$20)^2)+Setup!$B$27^2+Setup!$B$28^2+Setup!$B$16^2-2*(C9-Setup!$B$18)*Setup!$B$27+2*(D9-Setup!$B$19)*Setup!$B$28-Setup!$B$17^2)^2)))/((((C9-Setup!$B$18)^2+(D9-Setup!$B$19)^2+(E9-Setup!$B$20)^2)+Setup!$B$27^2+Setup!$B$28^2+Setup!$B$16^2-2*(C9-Setup!$B$18)*Setup!$B$27+2*(D9-Setup!$B$19)*Setup!$B$28-Setup!$B$17^2)-(Setup!$B$16*(SQRT(3)*((C9-Setup!$B$18)-Setup!$B$27)-(D9-Setup!$B$19)-Setup!$B$28))))))</f>
        <v>25.6637462156458</v>
      </c>
      <c r="H9" s="16" t="n">
        <f aca="false">IF(OR(E9="",((2*Setup!$B$16*((D9-Setup!$B$19)+Setup!$B$26))^2+(2*(E9-Setup!$B$20)*Setup!$B$16)^2-(((C9-Setup!$B$18)^2+(D9-Setup!$B$19)^2+(E9-Setup!$B$20)^2)+Setup!$B$26^2+Setup!$B$16^2+2*(D9-Setup!$B$19)*Setup!$B$26-Setup!$B$17^2)^2)&lt;0),"",DEGREES(2*ATAN((-(2*(E9-Setup!$B$20)*Setup!$B$16)-SQRT(((2*Setup!$B$16*((D9-Setup!$B$19)+Setup!$B$26))^2+(2*(E9-Setup!$B$20)*Setup!$B$16)^2-(((C9-Setup!$B$18)^2+(D9-Setup!$B$19)^2+(E9-Setup!$B$20)^2)+Setup!$B$26^2+Setup!$B$16^2+2*(D9-Setup!$B$19)*Setup!$B$26-Setup!$B$17^2)^2)))/((((C9-Setup!$B$18)^2+(D9-Setup!$B$19)^2+(E9-Setup!$B$20)^2)+Setup!$B$26^2+Setup!$B$16^2+2*(D9-Setup!$B$19)*Setup!$B$26-Setup!$B$17^2)-(2*Setup!$B$16*((D9-Setup!$B$19)+Setup!$B$26))))))</f>
        <v>25.6637462156458</v>
      </c>
      <c r="I9" s="17"/>
      <c r="J9" s="17"/>
      <c r="K9" s="17"/>
      <c r="L9" s="17"/>
      <c r="M9" s="17"/>
      <c r="N9" s="17"/>
      <c r="O9" s="18" t="str">
        <f aca="false">IF(OR(L9="",F9=""),"",L9-F9)</f>
        <v/>
      </c>
      <c r="P9" s="18" t="str">
        <f aca="false">IF(OR(M9="",G9=""),"",M9-G9)</f>
        <v/>
      </c>
      <c r="Q9" s="18" t="str">
        <f aca="false">IF(OR(N9="",H9=""),"",N9-H9)</f>
        <v/>
      </c>
      <c r="R9" s="11"/>
    </row>
    <row r="10" customFormat="false" ht="15" hidden="false" customHeight="false" outlineLevel="0" collapsed="false">
      <c r="A10" s="15" t="s">
        <v>52</v>
      </c>
      <c r="B10" s="15" t="n">
        <v>5</v>
      </c>
      <c r="C10" s="15" t="n">
        <v>0</v>
      </c>
      <c r="D10" s="15" t="n">
        <v>0</v>
      </c>
      <c r="E10" s="15" t="n">
        <v>-690</v>
      </c>
      <c r="F10" s="16" t="n">
        <f aca="false">IF(OR(E10="",((-Setup!$B$16*(SQRT(3)*((C10-Setup!$B$18)+Setup!$B$27)+(D10-Setup!$B$19)+Setup!$B$28))^2+(2*(E10-Setup!$B$20)*Setup!$B$16)^2-(((C10-Setup!$B$18)^2+(D10-Setup!$B$19)^2+(E10-Setup!$B$20)^2)+Setup!$B$27^2+Setup!$B$28^2+Setup!$B$16^2+2*(C10-Setup!$B$18)*Setup!$B$27+2*(D10-Setup!$B$19)*Setup!$B$28-Setup!$B$17^2)^2)&lt;0),"",DEGREES(2*ATAN((-(2*(E10-Setup!$B$20)*Setup!$B$16)-SQRT(((-Setup!$B$16*(SQRT(3)*((C10-Setup!$B$18)+Setup!$B$27)+(D10-Setup!$B$19)+Setup!$B$28))^2+(2*(E10-Setup!$B$20)*Setup!$B$16)^2-(((C10-Setup!$B$18)^2+(D10-Setup!$B$19)^2+(E10-Setup!$B$20)^2)+Setup!$B$27^2+Setup!$B$28^2+Setup!$B$16^2+2*(C10-Setup!$B$18)*Setup!$B$27+2*(D10-Setup!$B$19)*Setup!$B$28-Setup!$B$17^2)^2)))/((((C10-Setup!$B$18)^2+(D10-Setup!$B$19)^2+(E10-Setup!$B$20)^2)+Setup!$B$27^2+Setup!$B$28^2+Setup!$B$16^2+2*(C10-Setup!$B$18)*Setup!$B$27+2*(D10-Setup!$B$19)*Setup!$B$28-Setup!$B$17^2)-(-Setup!$B$16*(SQRT(3)*((C10-Setup!$B$18)+Setup!$B$27)+(D10-Setup!$B$19)+Setup!$B$28))))))</f>
        <v>22.5125144426886</v>
      </c>
      <c r="G10" s="16" t="n">
        <f aca="false">IF(OR(E10="",((Setup!$B$16*(SQRT(3)*((C10-Setup!$B$18)-Setup!$B$27)-(D10-Setup!$B$19)-Setup!$B$28))^2+(2*(E10-Setup!$B$20)*Setup!$B$16)^2-(((C10-Setup!$B$18)^2+(D10-Setup!$B$19)^2+(E10-Setup!$B$20)^2)+Setup!$B$27^2+Setup!$B$28^2+Setup!$B$16^2-2*(C10-Setup!$B$18)*Setup!$B$27+2*(D10-Setup!$B$19)*Setup!$B$28-Setup!$B$17^2)^2)&lt;0),"",DEGREES(2*ATAN((-(2*(E10-Setup!$B$20)*Setup!$B$16)-SQRT(((Setup!$B$16*(SQRT(3)*((C10-Setup!$B$18)-Setup!$B$27)-(D10-Setup!$B$19)-Setup!$B$28))^2+(2*(E10-Setup!$B$20)*Setup!$B$16)^2-(((C10-Setup!$B$18)^2+(D10-Setup!$B$19)^2+(E10-Setup!$B$20)^2)+Setup!$B$27^2+Setup!$B$28^2+Setup!$B$16^2-2*(C10-Setup!$B$18)*Setup!$B$27+2*(D10-Setup!$B$19)*Setup!$B$28-Setup!$B$17^2)^2)))/((((C10-Setup!$B$18)^2+(D10-Setup!$B$19)^2+(E10-Setup!$B$20)^2)+Setup!$B$27^2+Setup!$B$28^2+Setup!$B$16^2-2*(C10-Setup!$B$18)*Setup!$B$27+2*(D10-Setup!$B$19)*Setup!$B$28-Setup!$B$17^2)-(Setup!$B$16*(SQRT(3)*((C10-Setup!$B$18)-Setup!$B$27)-(D10-Setup!$B$19)-Setup!$B$28))))))</f>
        <v>22.5125144426886</v>
      </c>
      <c r="H10" s="16" t="n">
        <f aca="false">IF(OR(E10="",((2*Setup!$B$16*((D10-Setup!$B$19)+Setup!$B$26))^2+(2*(E10-Setup!$B$20)*Setup!$B$16)^2-(((C10-Setup!$B$18)^2+(D10-Setup!$B$19)^2+(E10-Setup!$B$20)^2)+Setup!$B$26^2+Setup!$B$16^2+2*(D10-Setup!$B$19)*Setup!$B$26-Setup!$B$17^2)^2)&lt;0),"",DEGREES(2*ATAN((-(2*(E10-Setup!$B$20)*Setup!$B$16)-SQRT(((2*Setup!$B$16*((D10-Setup!$B$19)+Setup!$B$26))^2+(2*(E10-Setup!$B$20)*Setup!$B$16)^2-(((C10-Setup!$B$18)^2+(D10-Setup!$B$19)^2+(E10-Setup!$B$20)^2)+Setup!$B$26^2+Setup!$B$16^2+2*(D10-Setup!$B$19)*Setup!$B$26-Setup!$B$17^2)^2)))/((((C10-Setup!$B$18)^2+(D10-Setup!$B$19)^2+(E10-Setup!$B$20)^2)+Setup!$B$26^2+Setup!$B$16^2+2*(D10-Setup!$B$19)*Setup!$B$26-Setup!$B$17^2)-(2*Setup!$B$16*((D10-Setup!$B$19)+Setup!$B$26))))))</f>
        <v>22.5125144426886</v>
      </c>
      <c r="I10" s="17"/>
      <c r="J10" s="17"/>
      <c r="K10" s="17"/>
      <c r="L10" s="17"/>
      <c r="M10" s="17"/>
      <c r="N10" s="17"/>
      <c r="O10" s="18" t="str">
        <f aca="false">IF(OR(L10="",F10=""),"",L10-F10)</f>
        <v/>
      </c>
      <c r="P10" s="18" t="str">
        <f aca="false">IF(OR(M10="",G10=""),"",M10-G10)</f>
        <v/>
      </c>
      <c r="Q10" s="18" t="str">
        <f aca="false">IF(OR(N10="",H10=""),"",N10-H10)</f>
        <v/>
      </c>
      <c r="R10" s="11"/>
    </row>
    <row r="11" customFormat="false" ht="15" hidden="false" customHeight="false" outlineLevel="0" collapsed="false">
      <c r="A11" s="15" t="s">
        <v>52</v>
      </c>
      <c r="B11" s="15" t="n">
        <v>6</v>
      </c>
      <c r="C11" s="15" t="n">
        <v>0</v>
      </c>
      <c r="D11" s="15" t="n">
        <v>0</v>
      </c>
      <c r="E11" s="15" t="n">
        <v>-680</v>
      </c>
      <c r="F11" s="16" t="n">
        <f aca="false">IF(OR(E11="",((-Setup!$B$16*(SQRT(3)*((C11-Setup!$B$18)+Setup!$B$27)+(D11-Setup!$B$19)+Setup!$B$28))^2+(2*(E11-Setup!$B$20)*Setup!$B$16)^2-(((C11-Setup!$B$18)^2+(D11-Setup!$B$19)^2+(E11-Setup!$B$20)^2)+Setup!$B$27^2+Setup!$B$28^2+Setup!$B$16^2+2*(C11-Setup!$B$18)*Setup!$B$27+2*(D11-Setup!$B$19)*Setup!$B$28-Setup!$B$17^2)^2)&lt;0),"",DEGREES(2*ATAN((-(2*(E11-Setup!$B$20)*Setup!$B$16)-SQRT(((-Setup!$B$16*(SQRT(3)*((C11-Setup!$B$18)+Setup!$B$27)+(D11-Setup!$B$19)+Setup!$B$28))^2+(2*(E11-Setup!$B$20)*Setup!$B$16)^2-(((C11-Setup!$B$18)^2+(D11-Setup!$B$19)^2+(E11-Setup!$B$20)^2)+Setup!$B$27^2+Setup!$B$28^2+Setup!$B$16^2+2*(C11-Setup!$B$18)*Setup!$B$27+2*(D11-Setup!$B$19)*Setup!$B$28-Setup!$B$17^2)^2)))/((((C11-Setup!$B$18)^2+(D11-Setup!$B$19)^2+(E11-Setup!$B$20)^2)+Setup!$B$27^2+Setup!$B$28^2+Setup!$B$16^2+2*(C11-Setup!$B$18)*Setup!$B$27+2*(D11-Setup!$B$19)*Setup!$B$28-Setup!$B$17^2)-(-Setup!$B$16*(SQRT(3)*((C11-Setup!$B$18)+Setup!$B$27)+(D11-Setup!$B$19)+Setup!$B$28))))))</f>
        <v>19.3891743496143</v>
      </c>
      <c r="G11" s="16" t="n">
        <f aca="false">IF(OR(E11="",((Setup!$B$16*(SQRT(3)*((C11-Setup!$B$18)-Setup!$B$27)-(D11-Setup!$B$19)-Setup!$B$28))^2+(2*(E11-Setup!$B$20)*Setup!$B$16)^2-(((C11-Setup!$B$18)^2+(D11-Setup!$B$19)^2+(E11-Setup!$B$20)^2)+Setup!$B$27^2+Setup!$B$28^2+Setup!$B$16^2-2*(C11-Setup!$B$18)*Setup!$B$27+2*(D11-Setup!$B$19)*Setup!$B$28-Setup!$B$17^2)^2)&lt;0),"",DEGREES(2*ATAN((-(2*(E11-Setup!$B$20)*Setup!$B$16)-SQRT(((Setup!$B$16*(SQRT(3)*((C11-Setup!$B$18)-Setup!$B$27)-(D11-Setup!$B$19)-Setup!$B$28))^2+(2*(E11-Setup!$B$20)*Setup!$B$16)^2-(((C11-Setup!$B$18)^2+(D11-Setup!$B$19)^2+(E11-Setup!$B$20)^2)+Setup!$B$27^2+Setup!$B$28^2+Setup!$B$16^2-2*(C11-Setup!$B$18)*Setup!$B$27+2*(D11-Setup!$B$19)*Setup!$B$28-Setup!$B$17^2)^2)))/((((C11-Setup!$B$18)^2+(D11-Setup!$B$19)^2+(E11-Setup!$B$20)^2)+Setup!$B$27^2+Setup!$B$28^2+Setup!$B$16^2-2*(C11-Setup!$B$18)*Setup!$B$27+2*(D11-Setup!$B$19)*Setup!$B$28-Setup!$B$17^2)-(Setup!$B$16*(SQRT(3)*((C11-Setup!$B$18)-Setup!$B$27)-(D11-Setup!$B$19)-Setup!$B$28))))))</f>
        <v>19.3891743496143</v>
      </c>
      <c r="H11" s="16" t="n">
        <f aca="false">IF(OR(E11="",((2*Setup!$B$16*((D11-Setup!$B$19)+Setup!$B$26))^2+(2*(E11-Setup!$B$20)*Setup!$B$16)^2-(((C11-Setup!$B$18)^2+(D11-Setup!$B$19)^2+(E11-Setup!$B$20)^2)+Setup!$B$26^2+Setup!$B$16^2+2*(D11-Setup!$B$19)*Setup!$B$26-Setup!$B$17^2)^2)&lt;0),"",DEGREES(2*ATAN((-(2*(E11-Setup!$B$20)*Setup!$B$16)-SQRT(((2*Setup!$B$16*((D11-Setup!$B$19)+Setup!$B$26))^2+(2*(E11-Setup!$B$20)*Setup!$B$16)^2-(((C11-Setup!$B$18)^2+(D11-Setup!$B$19)^2+(E11-Setup!$B$20)^2)+Setup!$B$26^2+Setup!$B$16^2+2*(D11-Setup!$B$19)*Setup!$B$26-Setup!$B$17^2)^2)))/((((C11-Setup!$B$18)^2+(D11-Setup!$B$19)^2+(E11-Setup!$B$20)^2)+Setup!$B$26^2+Setup!$B$16^2+2*(D11-Setup!$B$19)*Setup!$B$26-Setup!$B$17^2)-(2*Setup!$B$16*((D11-Setup!$B$19)+Setup!$B$26))))))</f>
        <v>19.3891743496143</v>
      </c>
      <c r="I11" s="17"/>
      <c r="J11" s="17"/>
      <c r="K11" s="17"/>
      <c r="L11" s="17"/>
      <c r="M11" s="17"/>
      <c r="N11" s="17"/>
      <c r="O11" s="18" t="str">
        <f aca="false">IF(OR(L11="",F11=""),"",L11-F11)</f>
        <v/>
      </c>
      <c r="P11" s="18" t="str">
        <f aca="false">IF(OR(M11="",G11=""),"",M11-G11)</f>
        <v/>
      </c>
      <c r="Q11" s="18" t="str">
        <f aca="false">IF(OR(N11="",H11=""),"",N11-H11)</f>
        <v/>
      </c>
      <c r="R11" s="11"/>
    </row>
    <row r="12" customFormat="false" ht="15" hidden="false" customHeight="false" outlineLevel="0" collapsed="false">
      <c r="A12" s="15" t="s">
        <v>52</v>
      </c>
      <c r="B12" s="15" t="n">
        <v>7</v>
      </c>
      <c r="C12" s="15" t="n">
        <v>0</v>
      </c>
      <c r="D12" s="15" t="n">
        <v>0</v>
      </c>
      <c r="E12" s="15" t="n">
        <v>-670</v>
      </c>
      <c r="F12" s="16" t="n">
        <f aca="false">IF(OR(E12="",((-Setup!$B$16*(SQRT(3)*((C12-Setup!$B$18)+Setup!$B$27)+(D12-Setup!$B$19)+Setup!$B$28))^2+(2*(E12-Setup!$B$20)*Setup!$B$16)^2-(((C12-Setup!$B$18)^2+(D12-Setup!$B$19)^2+(E12-Setup!$B$20)^2)+Setup!$B$27^2+Setup!$B$28^2+Setup!$B$16^2+2*(C12-Setup!$B$18)*Setup!$B$27+2*(D12-Setup!$B$19)*Setup!$B$28-Setup!$B$17^2)^2)&lt;0),"",DEGREES(2*ATAN((-(2*(E12-Setup!$B$20)*Setup!$B$16)-SQRT(((-Setup!$B$16*(SQRT(3)*((C12-Setup!$B$18)+Setup!$B$27)+(D12-Setup!$B$19)+Setup!$B$28))^2+(2*(E12-Setup!$B$20)*Setup!$B$16)^2-(((C12-Setup!$B$18)^2+(D12-Setup!$B$19)^2+(E12-Setup!$B$20)^2)+Setup!$B$27^2+Setup!$B$28^2+Setup!$B$16^2+2*(C12-Setup!$B$18)*Setup!$B$27+2*(D12-Setup!$B$19)*Setup!$B$28-Setup!$B$17^2)^2)))/((((C12-Setup!$B$18)^2+(D12-Setup!$B$19)^2+(E12-Setup!$B$20)^2)+Setup!$B$27^2+Setup!$B$28^2+Setup!$B$16^2+2*(C12-Setup!$B$18)*Setup!$B$27+2*(D12-Setup!$B$19)*Setup!$B$28-Setup!$B$17^2)-(-Setup!$B$16*(SQRT(3)*((C12-Setup!$B$18)+Setup!$B$27)+(D12-Setup!$B$19)+Setup!$B$28))))))</f>
        <v>16.2811247386167</v>
      </c>
      <c r="G12" s="16" t="n">
        <f aca="false">IF(OR(E12="",((Setup!$B$16*(SQRT(3)*((C12-Setup!$B$18)-Setup!$B$27)-(D12-Setup!$B$19)-Setup!$B$28))^2+(2*(E12-Setup!$B$20)*Setup!$B$16)^2-(((C12-Setup!$B$18)^2+(D12-Setup!$B$19)^2+(E12-Setup!$B$20)^2)+Setup!$B$27^2+Setup!$B$28^2+Setup!$B$16^2-2*(C12-Setup!$B$18)*Setup!$B$27+2*(D12-Setup!$B$19)*Setup!$B$28-Setup!$B$17^2)^2)&lt;0),"",DEGREES(2*ATAN((-(2*(E12-Setup!$B$20)*Setup!$B$16)-SQRT(((Setup!$B$16*(SQRT(3)*((C12-Setup!$B$18)-Setup!$B$27)-(D12-Setup!$B$19)-Setup!$B$28))^2+(2*(E12-Setup!$B$20)*Setup!$B$16)^2-(((C12-Setup!$B$18)^2+(D12-Setup!$B$19)^2+(E12-Setup!$B$20)^2)+Setup!$B$27^2+Setup!$B$28^2+Setup!$B$16^2-2*(C12-Setup!$B$18)*Setup!$B$27+2*(D12-Setup!$B$19)*Setup!$B$28-Setup!$B$17^2)^2)))/((((C12-Setup!$B$18)^2+(D12-Setup!$B$19)^2+(E12-Setup!$B$20)^2)+Setup!$B$27^2+Setup!$B$28^2+Setup!$B$16^2-2*(C12-Setup!$B$18)*Setup!$B$27+2*(D12-Setup!$B$19)*Setup!$B$28-Setup!$B$17^2)-(Setup!$B$16*(SQRT(3)*((C12-Setup!$B$18)-Setup!$B$27)-(D12-Setup!$B$19)-Setup!$B$28))))))</f>
        <v>16.2811247386167</v>
      </c>
      <c r="H12" s="16" t="n">
        <f aca="false">IF(OR(E12="",((2*Setup!$B$16*((D12-Setup!$B$19)+Setup!$B$26))^2+(2*(E12-Setup!$B$20)*Setup!$B$16)^2-(((C12-Setup!$B$18)^2+(D12-Setup!$B$19)^2+(E12-Setup!$B$20)^2)+Setup!$B$26^2+Setup!$B$16^2+2*(D12-Setup!$B$19)*Setup!$B$26-Setup!$B$17^2)^2)&lt;0),"",DEGREES(2*ATAN((-(2*(E12-Setup!$B$20)*Setup!$B$16)-SQRT(((2*Setup!$B$16*((D12-Setup!$B$19)+Setup!$B$26))^2+(2*(E12-Setup!$B$20)*Setup!$B$16)^2-(((C12-Setup!$B$18)^2+(D12-Setup!$B$19)^2+(E12-Setup!$B$20)^2)+Setup!$B$26^2+Setup!$B$16^2+2*(D12-Setup!$B$19)*Setup!$B$26-Setup!$B$17^2)^2)))/((((C12-Setup!$B$18)^2+(D12-Setup!$B$19)^2+(E12-Setup!$B$20)^2)+Setup!$B$26^2+Setup!$B$16^2+2*(D12-Setup!$B$19)*Setup!$B$26-Setup!$B$17^2)-(2*Setup!$B$16*((D12-Setup!$B$19)+Setup!$B$26))))))</f>
        <v>16.2811247386167</v>
      </c>
      <c r="I12" s="17"/>
      <c r="J12" s="17"/>
      <c r="K12" s="17"/>
      <c r="L12" s="17"/>
      <c r="M12" s="17"/>
      <c r="N12" s="17"/>
      <c r="O12" s="18" t="str">
        <f aca="false">IF(OR(L12="",F12=""),"",L12-F12)</f>
        <v/>
      </c>
      <c r="P12" s="18" t="str">
        <f aca="false">IF(OR(M12="",G12=""),"",M12-G12)</f>
        <v/>
      </c>
      <c r="Q12" s="18" t="str">
        <f aca="false">IF(OR(N12="",H12=""),"",N12-H12)</f>
        <v/>
      </c>
      <c r="R12" s="11"/>
    </row>
    <row r="13" customFormat="false" ht="15" hidden="false" customHeight="false" outlineLevel="0" collapsed="false">
      <c r="A13" s="15" t="s">
        <v>52</v>
      </c>
      <c r="B13" s="15" t="n">
        <v>8</v>
      </c>
      <c r="C13" s="15" t="n">
        <v>0</v>
      </c>
      <c r="D13" s="15" t="n">
        <v>0</v>
      </c>
      <c r="E13" s="15" t="n">
        <v>-660</v>
      </c>
      <c r="F13" s="16" t="n">
        <f aca="false">IF(OR(E13="",((-Setup!$B$16*(SQRT(3)*((C13-Setup!$B$18)+Setup!$B$27)+(D13-Setup!$B$19)+Setup!$B$28))^2+(2*(E13-Setup!$B$20)*Setup!$B$16)^2-(((C13-Setup!$B$18)^2+(D13-Setup!$B$19)^2+(E13-Setup!$B$20)^2)+Setup!$B$27^2+Setup!$B$28^2+Setup!$B$16^2+2*(C13-Setup!$B$18)*Setup!$B$27+2*(D13-Setup!$B$19)*Setup!$B$28-Setup!$B$17^2)^2)&lt;0),"",DEGREES(2*ATAN((-(2*(E13-Setup!$B$20)*Setup!$B$16)-SQRT(((-Setup!$B$16*(SQRT(3)*((C13-Setup!$B$18)+Setup!$B$27)+(D13-Setup!$B$19)+Setup!$B$28))^2+(2*(E13-Setup!$B$20)*Setup!$B$16)^2-(((C13-Setup!$B$18)^2+(D13-Setup!$B$19)^2+(E13-Setup!$B$20)^2)+Setup!$B$27^2+Setup!$B$28^2+Setup!$B$16^2+2*(C13-Setup!$B$18)*Setup!$B$27+2*(D13-Setup!$B$19)*Setup!$B$28-Setup!$B$17^2)^2)))/((((C13-Setup!$B$18)^2+(D13-Setup!$B$19)^2+(E13-Setup!$B$20)^2)+Setup!$B$27^2+Setup!$B$28^2+Setup!$B$16^2+2*(C13-Setup!$B$18)*Setup!$B$27+2*(D13-Setup!$B$19)*Setup!$B$28-Setup!$B$17^2)-(-Setup!$B$16*(SQRT(3)*((C13-Setup!$B$18)+Setup!$B$27)+(D13-Setup!$B$19)+Setup!$B$28))))))</f>
        <v>13.176653702661</v>
      </c>
      <c r="G13" s="16" t="n">
        <f aca="false">IF(OR(E13="",((Setup!$B$16*(SQRT(3)*((C13-Setup!$B$18)-Setup!$B$27)-(D13-Setup!$B$19)-Setup!$B$28))^2+(2*(E13-Setup!$B$20)*Setup!$B$16)^2-(((C13-Setup!$B$18)^2+(D13-Setup!$B$19)^2+(E13-Setup!$B$20)^2)+Setup!$B$27^2+Setup!$B$28^2+Setup!$B$16^2-2*(C13-Setup!$B$18)*Setup!$B$27+2*(D13-Setup!$B$19)*Setup!$B$28-Setup!$B$17^2)^2)&lt;0),"",DEGREES(2*ATAN((-(2*(E13-Setup!$B$20)*Setup!$B$16)-SQRT(((Setup!$B$16*(SQRT(3)*((C13-Setup!$B$18)-Setup!$B$27)-(D13-Setup!$B$19)-Setup!$B$28))^2+(2*(E13-Setup!$B$20)*Setup!$B$16)^2-(((C13-Setup!$B$18)^2+(D13-Setup!$B$19)^2+(E13-Setup!$B$20)^2)+Setup!$B$27^2+Setup!$B$28^2+Setup!$B$16^2-2*(C13-Setup!$B$18)*Setup!$B$27+2*(D13-Setup!$B$19)*Setup!$B$28-Setup!$B$17^2)^2)))/((((C13-Setup!$B$18)^2+(D13-Setup!$B$19)^2+(E13-Setup!$B$20)^2)+Setup!$B$27^2+Setup!$B$28^2+Setup!$B$16^2-2*(C13-Setup!$B$18)*Setup!$B$27+2*(D13-Setup!$B$19)*Setup!$B$28-Setup!$B$17^2)-(Setup!$B$16*(SQRT(3)*((C13-Setup!$B$18)-Setup!$B$27)-(D13-Setup!$B$19)-Setup!$B$28))))))</f>
        <v>13.176653702661</v>
      </c>
      <c r="H13" s="16" t="n">
        <f aca="false">IF(OR(E13="",((2*Setup!$B$16*((D13-Setup!$B$19)+Setup!$B$26))^2+(2*(E13-Setup!$B$20)*Setup!$B$16)^2-(((C13-Setup!$B$18)^2+(D13-Setup!$B$19)^2+(E13-Setup!$B$20)^2)+Setup!$B$26^2+Setup!$B$16^2+2*(D13-Setup!$B$19)*Setup!$B$26-Setup!$B$17^2)^2)&lt;0),"",DEGREES(2*ATAN((-(2*(E13-Setup!$B$20)*Setup!$B$16)-SQRT(((2*Setup!$B$16*((D13-Setup!$B$19)+Setup!$B$26))^2+(2*(E13-Setup!$B$20)*Setup!$B$16)^2-(((C13-Setup!$B$18)^2+(D13-Setup!$B$19)^2+(E13-Setup!$B$20)^2)+Setup!$B$26^2+Setup!$B$16^2+2*(D13-Setup!$B$19)*Setup!$B$26-Setup!$B$17^2)^2)))/((((C13-Setup!$B$18)^2+(D13-Setup!$B$19)^2+(E13-Setup!$B$20)^2)+Setup!$B$26^2+Setup!$B$16^2+2*(D13-Setup!$B$19)*Setup!$B$26-Setup!$B$17^2)-(2*Setup!$B$16*((D13-Setup!$B$19)+Setup!$B$26))))))</f>
        <v>13.176653702661</v>
      </c>
      <c r="I13" s="17"/>
      <c r="J13" s="17"/>
      <c r="K13" s="17"/>
      <c r="L13" s="17"/>
      <c r="M13" s="17"/>
      <c r="N13" s="17"/>
      <c r="O13" s="18" t="str">
        <f aca="false">IF(OR(L13="",F13=""),"",L13-F13)</f>
        <v/>
      </c>
      <c r="P13" s="18" t="str">
        <f aca="false">IF(OR(M13="",G13=""),"",M13-G13)</f>
        <v/>
      </c>
      <c r="Q13" s="18" t="str">
        <f aca="false">IF(OR(N13="",H13=""),"",N13-H13)</f>
        <v/>
      </c>
      <c r="R13" s="11"/>
    </row>
    <row r="14" customFormat="false" ht="15" hidden="false" customHeight="false" outlineLevel="0" collapsed="false">
      <c r="A14" s="15" t="s">
        <v>52</v>
      </c>
      <c r="B14" s="15" t="n">
        <v>9</v>
      </c>
      <c r="C14" s="15" t="n">
        <v>0</v>
      </c>
      <c r="D14" s="15" t="n">
        <v>0</v>
      </c>
      <c r="E14" s="15" t="n">
        <v>-650</v>
      </c>
      <c r="F14" s="16" t="n">
        <f aca="false">IF(OR(E14="",((-Setup!$B$16*(SQRT(3)*((C14-Setup!$B$18)+Setup!$B$27)+(D14-Setup!$B$19)+Setup!$B$28))^2+(2*(E14-Setup!$B$20)*Setup!$B$16)^2-(((C14-Setup!$B$18)^2+(D14-Setup!$B$19)^2+(E14-Setup!$B$20)^2)+Setup!$B$27^2+Setup!$B$28^2+Setup!$B$16^2+2*(C14-Setup!$B$18)*Setup!$B$27+2*(D14-Setup!$B$19)*Setup!$B$28-Setup!$B$17^2)^2)&lt;0),"",DEGREES(2*ATAN((-(2*(E14-Setup!$B$20)*Setup!$B$16)-SQRT(((-Setup!$B$16*(SQRT(3)*((C14-Setup!$B$18)+Setup!$B$27)+(D14-Setup!$B$19)+Setup!$B$28))^2+(2*(E14-Setup!$B$20)*Setup!$B$16)^2-(((C14-Setup!$B$18)^2+(D14-Setup!$B$19)^2+(E14-Setup!$B$20)^2)+Setup!$B$27^2+Setup!$B$28^2+Setup!$B$16^2+2*(C14-Setup!$B$18)*Setup!$B$27+2*(D14-Setup!$B$19)*Setup!$B$28-Setup!$B$17^2)^2)))/((((C14-Setup!$B$18)^2+(D14-Setup!$B$19)^2+(E14-Setup!$B$20)^2)+Setup!$B$27^2+Setup!$B$28^2+Setup!$B$16^2+2*(C14-Setup!$B$18)*Setup!$B$27+2*(D14-Setup!$B$19)*Setup!$B$28-Setup!$B$17^2)-(-Setup!$B$16*(SQRT(3)*((C14-Setup!$B$18)+Setup!$B$27)+(D14-Setup!$B$19)+Setup!$B$28))))))</f>
        <v>10.0645439782632</v>
      </c>
      <c r="G14" s="16" t="n">
        <f aca="false">IF(OR(E14="",((Setup!$B$16*(SQRT(3)*((C14-Setup!$B$18)-Setup!$B$27)-(D14-Setup!$B$19)-Setup!$B$28))^2+(2*(E14-Setup!$B$20)*Setup!$B$16)^2-(((C14-Setup!$B$18)^2+(D14-Setup!$B$19)^2+(E14-Setup!$B$20)^2)+Setup!$B$27^2+Setup!$B$28^2+Setup!$B$16^2-2*(C14-Setup!$B$18)*Setup!$B$27+2*(D14-Setup!$B$19)*Setup!$B$28-Setup!$B$17^2)^2)&lt;0),"",DEGREES(2*ATAN((-(2*(E14-Setup!$B$20)*Setup!$B$16)-SQRT(((Setup!$B$16*(SQRT(3)*((C14-Setup!$B$18)-Setup!$B$27)-(D14-Setup!$B$19)-Setup!$B$28))^2+(2*(E14-Setup!$B$20)*Setup!$B$16)^2-(((C14-Setup!$B$18)^2+(D14-Setup!$B$19)^2+(E14-Setup!$B$20)^2)+Setup!$B$27^2+Setup!$B$28^2+Setup!$B$16^2-2*(C14-Setup!$B$18)*Setup!$B$27+2*(D14-Setup!$B$19)*Setup!$B$28-Setup!$B$17^2)^2)))/((((C14-Setup!$B$18)^2+(D14-Setup!$B$19)^2+(E14-Setup!$B$20)^2)+Setup!$B$27^2+Setup!$B$28^2+Setup!$B$16^2-2*(C14-Setup!$B$18)*Setup!$B$27+2*(D14-Setup!$B$19)*Setup!$B$28-Setup!$B$17^2)-(Setup!$B$16*(SQRT(3)*((C14-Setup!$B$18)-Setup!$B$27)-(D14-Setup!$B$19)-Setup!$B$28))))))</f>
        <v>10.0645439782632</v>
      </c>
      <c r="H14" s="16" t="n">
        <f aca="false">IF(OR(E14="",((2*Setup!$B$16*((D14-Setup!$B$19)+Setup!$B$26))^2+(2*(E14-Setup!$B$20)*Setup!$B$16)^2-(((C14-Setup!$B$18)^2+(D14-Setup!$B$19)^2+(E14-Setup!$B$20)^2)+Setup!$B$26^2+Setup!$B$16^2+2*(D14-Setup!$B$19)*Setup!$B$26-Setup!$B$17^2)^2)&lt;0),"",DEGREES(2*ATAN((-(2*(E14-Setup!$B$20)*Setup!$B$16)-SQRT(((2*Setup!$B$16*((D14-Setup!$B$19)+Setup!$B$26))^2+(2*(E14-Setup!$B$20)*Setup!$B$16)^2-(((C14-Setup!$B$18)^2+(D14-Setup!$B$19)^2+(E14-Setup!$B$20)^2)+Setup!$B$26^2+Setup!$B$16^2+2*(D14-Setup!$B$19)*Setup!$B$26-Setup!$B$17^2)^2)))/((((C14-Setup!$B$18)^2+(D14-Setup!$B$19)^2+(E14-Setup!$B$20)^2)+Setup!$B$26^2+Setup!$B$16^2+2*(D14-Setup!$B$19)*Setup!$B$26-Setup!$B$17^2)-(2*Setup!$B$16*((D14-Setup!$B$19)+Setup!$B$26))))))</f>
        <v>10.0645439782632</v>
      </c>
      <c r="I14" s="17"/>
      <c r="J14" s="17"/>
      <c r="K14" s="17"/>
      <c r="L14" s="17"/>
      <c r="M14" s="17"/>
      <c r="N14" s="17"/>
      <c r="O14" s="18" t="str">
        <f aca="false">IF(OR(L14="",F14=""),"",L14-F14)</f>
        <v/>
      </c>
      <c r="P14" s="18" t="str">
        <f aca="false">IF(OR(M14="",G14=""),"",M14-G14)</f>
        <v/>
      </c>
      <c r="Q14" s="18" t="str">
        <f aca="false">IF(OR(N14="",H14=""),"",N14-H14)</f>
        <v/>
      </c>
      <c r="R14" s="11"/>
    </row>
    <row r="15" customFormat="false" ht="15" hidden="false" customHeight="false" outlineLevel="0" collapsed="false">
      <c r="A15" s="15" t="s">
        <v>52</v>
      </c>
      <c r="B15" s="15" t="n">
        <v>10</v>
      </c>
      <c r="C15" s="15" t="n">
        <v>0</v>
      </c>
      <c r="D15" s="15" t="n">
        <v>0</v>
      </c>
      <c r="E15" s="15" t="n">
        <v>-640</v>
      </c>
      <c r="F15" s="16" t="n">
        <f aca="false">IF(OR(E15="",((-Setup!$B$16*(SQRT(3)*((C15-Setup!$B$18)+Setup!$B$27)+(D15-Setup!$B$19)+Setup!$B$28))^2+(2*(E15-Setup!$B$20)*Setup!$B$16)^2-(((C15-Setup!$B$18)^2+(D15-Setup!$B$19)^2+(E15-Setup!$B$20)^2)+Setup!$B$27^2+Setup!$B$28^2+Setup!$B$16^2+2*(C15-Setup!$B$18)*Setup!$B$27+2*(D15-Setup!$B$19)*Setup!$B$28-Setup!$B$17^2)^2)&lt;0),"",DEGREES(2*ATAN((-(2*(E15-Setup!$B$20)*Setup!$B$16)-SQRT(((-Setup!$B$16*(SQRT(3)*((C15-Setup!$B$18)+Setup!$B$27)+(D15-Setup!$B$19)+Setup!$B$28))^2+(2*(E15-Setup!$B$20)*Setup!$B$16)^2-(((C15-Setup!$B$18)^2+(D15-Setup!$B$19)^2+(E15-Setup!$B$20)^2)+Setup!$B$27^2+Setup!$B$28^2+Setup!$B$16^2+2*(C15-Setup!$B$18)*Setup!$B$27+2*(D15-Setup!$B$19)*Setup!$B$28-Setup!$B$17^2)^2)))/((((C15-Setup!$B$18)^2+(D15-Setup!$B$19)^2+(E15-Setup!$B$20)^2)+Setup!$B$27^2+Setup!$B$28^2+Setup!$B$16^2+2*(C15-Setup!$B$18)*Setup!$B$27+2*(D15-Setup!$B$19)*Setup!$B$28-Setup!$B$17^2)-(-Setup!$B$16*(SQRT(3)*((C15-Setup!$B$18)+Setup!$B$27)+(D15-Setup!$B$19)+Setup!$B$28))))))</f>
        <v>6.93373219113419</v>
      </c>
      <c r="G15" s="16" t="n">
        <f aca="false">IF(OR(E15="",((Setup!$B$16*(SQRT(3)*((C15-Setup!$B$18)-Setup!$B$27)-(D15-Setup!$B$19)-Setup!$B$28))^2+(2*(E15-Setup!$B$20)*Setup!$B$16)^2-(((C15-Setup!$B$18)^2+(D15-Setup!$B$19)^2+(E15-Setup!$B$20)^2)+Setup!$B$27^2+Setup!$B$28^2+Setup!$B$16^2-2*(C15-Setup!$B$18)*Setup!$B$27+2*(D15-Setup!$B$19)*Setup!$B$28-Setup!$B$17^2)^2)&lt;0),"",DEGREES(2*ATAN((-(2*(E15-Setup!$B$20)*Setup!$B$16)-SQRT(((Setup!$B$16*(SQRT(3)*((C15-Setup!$B$18)-Setup!$B$27)-(D15-Setup!$B$19)-Setup!$B$28))^2+(2*(E15-Setup!$B$20)*Setup!$B$16)^2-(((C15-Setup!$B$18)^2+(D15-Setup!$B$19)^2+(E15-Setup!$B$20)^2)+Setup!$B$27^2+Setup!$B$28^2+Setup!$B$16^2-2*(C15-Setup!$B$18)*Setup!$B$27+2*(D15-Setup!$B$19)*Setup!$B$28-Setup!$B$17^2)^2)))/((((C15-Setup!$B$18)^2+(D15-Setup!$B$19)^2+(E15-Setup!$B$20)^2)+Setup!$B$27^2+Setup!$B$28^2+Setup!$B$16^2-2*(C15-Setup!$B$18)*Setup!$B$27+2*(D15-Setup!$B$19)*Setup!$B$28-Setup!$B$17^2)-(Setup!$B$16*(SQRT(3)*((C15-Setup!$B$18)-Setup!$B$27)-(D15-Setup!$B$19)-Setup!$B$28))))))</f>
        <v>6.93373219113419</v>
      </c>
      <c r="H15" s="16" t="n">
        <f aca="false">IF(OR(E15="",((2*Setup!$B$16*((D15-Setup!$B$19)+Setup!$B$26))^2+(2*(E15-Setup!$B$20)*Setup!$B$16)^2-(((C15-Setup!$B$18)^2+(D15-Setup!$B$19)^2+(E15-Setup!$B$20)^2)+Setup!$B$26^2+Setup!$B$16^2+2*(D15-Setup!$B$19)*Setup!$B$26-Setup!$B$17^2)^2)&lt;0),"",DEGREES(2*ATAN((-(2*(E15-Setup!$B$20)*Setup!$B$16)-SQRT(((2*Setup!$B$16*((D15-Setup!$B$19)+Setup!$B$26))^2+(2*(E15-Setup!$B$20)*Setup!$B$16)^2-(((C15-Setup!$B$18)^2+(D15-Setup!$B$19)^2+(E15-Setup!$B$20)^2)+Setup!$B$26^2+Setup!$B$16^2+2*(D15-Setup!$B$19)*Setup!$B$26-Setup!$B$17^2)^2)))/((((C15-Setup!$B$18)^2+(D15-Setup!$B$19)^2+(E15-Setup!$B$20)^2)+Setup!$B$26^2+Setup!$B$16^2+2*(D15-Setup!$B$19)*Setup!$B$26-Setup!$B$17^2)-(2*Setup!$B$16*((D15-Setup!$B$19)+Setup!$B$26))))))</f>
        <v>6.93373219113419</v>
      </c>
      <c r="I15" s="17"/>
      <c r="J15" s="17"/>
      <c r="K15" s="17"/>
      <c r="L15" s="17"/>
      <c r="M15" s="17"/>
      <c r="N15" s="17"/>
      <c r="O15" s="18" t="str">
        <f aca="false">IF(OR(L15="",F15=""),"",L15-F15)</f>
        <v/>
      </c>
      <c r="P15" s="18" t="str">
        <f aca="false">IF(OR(M15="",G15=""),"",M15-G15)</f>
        <v/>
      </c>
      <c r="Q15" s="18" t="str">
        <f aca="false">IF(OR(N15="",H15=""),"",N15-H15)</f>
        <v/>
      </c>
      <c r="R15" s="11"/>
    </row>
    <row r="16" customFormat="false" ht="15" hidden="false" customHeight="false" outlineLevel="0" collapsed="false">
      <c r="A16" s="15" t="s">
        <v>52</v>
      </c>
      <c r="B16" s="15" t="n">
        <v>11</v>
      </c>
      <c r="C16" s="15" t="n">
        <v>0</v>
      </c>
      <c r="D16" s="15" t="n">
        <v>0</v>
      </c>
      <c r="E16" s="15" t="n">
        <v>-630</v>
      </c>
      <c r="F16" s="16" t="n">
        <f aca="false">IF(OR(E16="",((-Setup!$B$16*(SQRT(3)*((C16-Setup!$B$18)+Setup!$B$27)+(D16-Setup!$B$19)+Setup!$B$28))^2+(2*(E16-Setup!$B$20)*Setup!$B$16)^2-(((C16-Setup!$B$18)^2+(D16-Setup!$B$19)^2+(E16-Setup!$B$20)^2)+Setup!$B$27^2+Setup!$B$28^2+Setup!$B$16^2+2*(C16-Setup!$B$18)*Setup!$B$27+2*(D16-Setup!$B$19)*Setup!$B$28-Setup!$B$17^2)^2)&lt;0),"",DEGREES(2*ATAN((-(2*(E16-Setup!$B$20)*Setup!$B$16)-SQRT(((-Setup!$B$16*(SQRT(3)*((C16-Setup!$B$18)+Setup!$B$27)+(D16-Setup!$B$19)+Setup!$B$28))^2+(2*(E16-Setup!$B$20)*Setup!$B$16)^2-(((C16-Setup!$B$18)^2+(D16-Setup!$B$19)^2+(E16-Setup!$B$20)^2)+Setup!$B$27^2+Setup!$B$28^2+Setup!$B$16^2+2*(C16-Setup!$B$18)*Setup!$B$27+2*(D16-Setup!$B$19)*Setup!$B$28-Setup!$B$17^2)^2)))/((((C16-Setup!$B$18)^2+(D16-Setup!$B$19)^2+(E16-Setup!$B$20)^2)+Setup!$B$27^2+Setup!$B$28^2+Setup!$B$16^2+2*(C16-Setup!$B$18)*Setup!$B$27+2*(D16-Setup!$B$19)*Setup!$B$28-Setup!$B$17^2)-(-Setup!$B$16*(SQRT(3)*((C16-Setup!$B$18)+Setup!$B$27)+(D16-Setup!$B$19)+Setup!$B$28))))))</f>
        <v>3.77299112998899</v>
      </c>
      <c r="G16" s="16" t="n">
        <f aca="false">IF(OR(E16="",((Setup!$B$16*(SQRT(3)*((C16-Setup!$B$18)-Setup!$B$27)-(D16-Setup!$B$19)-Setup!$B$28))^2+(2*(E16-Setup!$B$20)*Setup!$B$16)^2-(((C16-Setup!$B$18)^2+(D16-Setup!$B$19)^2+(E16-Setup!$B$20)^2)+Setup!$B$27^2+Setup!$B$28^2+Setup!$B$16^2-2*(C16-Setup!$B$18)*Setup!$B$27+2*(D16-Setup!$B$19)*Setup!$B$28-Setup!$B$17^2)^2)&lt;0),"",DEGREES(2*ATAN((-(2*(E16-Setup!$B$20)*Setup!$B$16)-SQRT(((Setup!$B$16*(SQRT(3)*((C16-Setup!$B$18)-Setup!$B$27)-(D16-Setup!$B$19)-Setup!$B$28))^2+(2*(E16-Setup!$B$20)*Setup!$B$16)^2-(((C16-Setup!$B$18)^2+(D16-Setup!$B$19)^2+(E16-Setup!$B$20)^2)+Setup!$B$27^2+Setup!$B$28^2+Setup!$B$16^2-2*(C16-Setup!$B$18)*Setup!$B$27+2*(D16-Setup!$B$19)*Setup!$B$28-Setup!$B$17^2)^2)))/((((C16-Setup!$B$18)^2+(D16-Setup!$B$19)^2+(E16-Setup!$B$20)^2)+Setup!$B$27^2+Setup!$B$28^2+Setup!$B$16^2-2*(C16-Setup!$B$18)*Setup!$B$27+2*(D16-Setup!$B$19)*Setup!$B$28-Setup!$B$17^2)-(Setup!$B$16*(SQRT(3)*((C16-Setup!$B$18)-Setup!$B$27)-(D16-Setup!$B$19)-Setup!$B$28))))))</f>
        <v>3.77299112998899</v>
      </c>
      <c r="H16" s="16" t="n">
        <f aca="false">IF(OR(E16="",((2*Setup!$B$16*((D16-Setup!$B$19)+Setup!$B$26))^2+(2*(E16-Setup!$B$20)*Setup!$B$16)^2-(((C16-Setup!$B$18)^2+(D16-Setup!$B$19)^2+(E16-Setup!$B$20)^2)+Setup!$B$26^2+Setup!$B$16^2+2*(D16-Setup!$B$19)*Setup!$B$26-Setup!$B$17^2)^2)&lt;0),"",DEGREES(2*ATAN((-(2*(E16-Setup!$B$20)*Setup!$B$16)-SQRT(((2*Setup!$B$16*((D16-Setup!$B$19)+Setup!$B$26))^2+(2*(E16-Setup!$B$20)*Setup!$B$16)^2-(((C16-Setup!$B$18)^2+(D16-Setup!$B$19)^2+(E16-Setup!$B$20)^2)+Setup!$B$26^2+Setup!$B$16^2+2*(D16-Setup!$B$19)*Setup!$B$26-Setup!$B$17^2)^2)))/((((C16-Setup!$B$18)^2+(D16-Setup!$B$19)^2+(E16-Setup!$B$20)^2)+Setup!$B$26^2+Setup!$B$16^2+2*(D16-Setup!$B$19)*Setup!$B$26-Setup!$B$17^2)-(2*Setup!$B$16*((D16-Setup!$B$19)+Setup!$B$26))))))</f>
        <v>3.77299112998899</v>
      </c>
      <c r="I16" s="17"/>
      <c r="J16" s="17"/>
      <c r="K16" s="17"/>
      <c r="L16" s="17"/>
      <c r="M16" s="17"/>
      <c r="N16" s="17"/>
      <c r="O16" s="18" t="str">
        <f aca="false">IF(OR(L16="",F16=""),"",L16-F16)</f>
        <v/>
      </c>
      <c r="P16" s="18" t="str">
        <f aca="false">IF(OR(M16="",G16=""),"",M16-G16)</f>
        <v/>
      </c>
      <c r="Q16" s="18" t="str">
        <f aca="false">IF(OR(N16="",H16=""),"",N16-H16)</f>
        <v/>
      </c>
      <c r="R16" s="11"/>
    </row>
    <row r="17" customFormat="false" ht="15" hidden="false" customHeight="false" outlineLevel="0" collapsed="false">
      <c r="A17" s="15" t="s">
        <v>52</v>
      </c>
      <c r="B17" s="15" t="n">
        <v>12</v>
      </c>
      <c r="C17" s="15" t="n">
        <v>0</v>
      </c>
      <c r="D17" s="15" t="n">
        <v>0</v>
      </c>
      <c r="E17" s="15" t="n">
        <v>-620</v>
      </c>
      <c r="F17" s="16" t="n">
        <f aca="false">IF(OR(E17="",((-Setup!$B$16*(SQRT(3)*((C17-Setup!$B$18)+Setup!$B$27)+(D17-Setup!$B$19)+Setup!$B$28))^2+(2*(E17-Setup!$B$20)*Setup!$B$16)^2-(((C17-Setup!$B$18)^2+(D17-Setup!$B$19)^2+(E17-Setup!$B$20)^2)+Setup!$B$27^2+Setup!$B$28^2+Setup!$B$16^2+2*(C17-Setup!$B$18)*Setup!$B$27+2*(D17-Setup!$B$19)*Setup!$B$28-Setup!$B$17^2)^2)&lt;0),"",DEGREES(2*ATAN((-(2*(E17-Setup!$B$20)*Setup!$B$16)-SQRT(((-Setup!$B$16*(SQRT(3)*((C17-Setup!$B$18)+Setup!$B$27)+(D17-Setup!$B$19)+Setup!$B$28))^2+(2*(E17-Setup!$B$20)*Setup!$B$16)^2-(((C17-Setup!$B$18)^2+(D17-Setup!$B$19)^2+(E17-Setup!$B$20)^2)+Setup!$B$27^2+Setup!$B$28^2+Setup!$B$16^2+2*(C17-Setup!$B$18)*Setup!$B$27+2*(D17-Setup!$B$19)*Setup!$B$28-Setup!$B$17^2)^2)))/((((C17-Setup!$B$18)^2+(D17-Setup!$B$19)^2+(E17-Setup!$B$20)^2)+Setup!$B$27^2+Setup!$B$28^2+Setup!$B$16^2+2*(C17-Setup!$B$18)*Setup!$B$27+2*(D17-Setup!$B$19)*Setup!$B$28-Setup!$B$17^2)-(-Setup!$B$16*(SQRT(3)*((C17-Setup!$B$18)+Setup!$B$27)+(D17-Setup!$B$19)+Setup!$B$28))))))</f>
        <v>0.570608769765978</v>
      </c>
      <c r="G17" s="16" t="n">
        <f aca="false">IF(OR(E17="",((Setup!$B$16*(SQRT(3)*((C17-Setup!$B$18)-Setup!$B$27)-(D17-Setup!$B$19)-Setup!$B$28))^2+(2*(E17-Setup!$B$20)*Setup!$B$16)^2-(((C17-Setup!$B$18)^2+(D17-Setup!$B$19)^2+(E17-Setup!$B$20)^2)+Setup!$B$27^2+Setup!$B$28^2+Setup!$B$16^2-2*(C17-Setup!$B$18)*Setup!$B$27+2*(D17-Setup!$B$19)*Setup!$B$28-Setup!$B$17^2)^2)&lt;0),"",DEGREES(2*ATAN((-(2*(E17-Setup!$B$20)*Setup!$B$16)-SQRT(((Setup!$B$16*(SQRT(3)*((C17-Setup!$B$18)-Setup!$B$27)-(D17-Setup!$B$19)-Setup!$B$28))^2+(2*(E17-Setup!$B$20)*Setup!$B$16)^2-(((C17-Setup!$B$18)^2+(D17-Setup!$B$19)^2+(E17-Setup!$B$20)^2)+Setup!$B$27^2+Setup!$B$28^2+Setup!$B$16^2-2*(C17-Setup!$B$18)*Setup!$B$27+2*(D17-Setup!$B$19)*Setup!$B$28-Setup!$B$17^2)^2)))/((((C17-Setup!$B$18)^2+(D17-Setup!$B$19)^2+(E17-Setup!$B$20)^2)+Setup!$B$27^2+Setup!$B$28^2+Setup!$B$16^2-2*(C17-Setup!$B$18)*Setup!$B$27+2*(D17-Setup!$B$19)*Setup!$B$28-Setup!$B$17^2)-(Setup!$B$16*(SQRT(3)*((C17-Setup!$B$18)-Setup!$B$27)-(D17-Setup!$B$19)-Setup!$B$28))))))</f>
        <v>0.570608769765978</v>
      </c>
      <c r="H17" s="16" t="n">
        <f aca="false">IF(OR(E17="",((2*Setup!$B$16*((D17-Setup!$B$19)+Setup!$B$26))^2+(2*(E17-Setup!$B$20)*Setup!$B$16)^2-(((C17-Setup!$B$18)^2+(D17-Setup!$B$19)^2+(E17-Setup!$B$20)^2)+Setup!$B$26^2+Setup!$B$16^2+2*(D17-Setup!$B$19)*Setup!$B$26-Setup!$B$17^2)^2)&lt;0),"",DEGREES(2*ATAN((-(2*(E17-Setup!$B$20)*Setup!$B$16)-SQRT(((2*Setup!$B$16*((D17-Setup!$B$19)+Setup!$B$26))^2+(2*(E17-Setup!$B$20)*Setup!$B$16)^2-(((C17-Setup!$B$18)^2+(D17-Setup!$B$19)^2+(E17-Setup!$B$20)^2)+Setup!$B$26^2+Setup!$B$16^2+2*(D17-Setup!$B$19)*Setup!$B$26-Setup!$B$17^2)^2)))/((((C17-Setup!$B$18)^2+(D17-Setup!$B$19)^2+(E17-Setup!$B$20)^2)+Setup!$B$26^2+Setup!$B$16^2+2*(D17-Setup!$B$19)*Setup!$B$26-Setup!$B$17^2)-(2*Setup!$B$16*((D17-Setup!$B$19)+Setup!$B$26))))))</f>
        <v>0.570608769765979</v>
      </c>
      <c r="I17" s="17"/>
      <c r="J17" s="17"/>
      <c r="K17" s="17"/>
      <c r="L17" s="17"/>
      <c r="M17" s="17"/>
      <c r="N17" s="17"/>
      <c r="O17" s="18" t="str">
        <f aca="false">IF(OR(L17="",F17=""),"",L17-F17)</f>
        <v/>
      </c>
      <c r="P17" s="18" t="str">
        <f aca="false">IF(OR(M17="",G17=""),"",M17-G17)</f>
        <v/>
      </c>
      <c r="Q17" s="18" t="str">
        <f aca="false">IF(OR(N17="",H17=""),"",N17-H17)</f>
        <v/>
      </c>
      <c r="R17" s="11"/>
    </row>
    <row r="18" customFormat="false" ht="15" hidden="false" customHeight="false" outlineLevel="0" collapsed="false">
      <c r="A18" s="15" t="s">
        <v>52</v>
      </c>
      <c r="B18" s="15" t="n">
        <v>13</v>
      </c>
      <c r="C18" s="15" t="n">
        <v>0</v>
      </c>
      <c r="D18" s="15" t="n">
        <v>0</v>
      </c>
      <c r="E18" s="15" t="n">
        <v>-610</v>
      </c>
      <c r="F18" s="16" t="n">
        <f aca="false">IF(OR(E18="",((-Setup!$B$16*(SQRT(3)*((C18-Setup!$B$18)+Setup!$B$27)+(D18-Setup!$B$19)+Setup!$B$28))^2+(2*(E18-Setup!$B$20)*Setup!$B$16)^2-(((C18-Setup!$B$18)^2+(D18-Setup!$B$19)^2+(E18-Setup!$B$20)^2)+Setup!$B$27^2+Setup!$B$28^2+Setup!$B$16^2+2*(C18-Setup!$B$18)*Setup!$B$27+2*(D18-Setup!$B$19)*Setup!$B$28-Setup!$B$17^2)^2)&lt;0),"",DEGREES(2*ATAN((-(2*(E18-Setup!$B$20)*Setup!$B$16)-SQRT(((-Setup!$B$16*(SQRT(3)*((C18-Setup!$B$18)+Setup!$B$27)+(D18-Setup!$B$19)+Setup!$B$28))^2+(2*(E18-Setup!$B$20)*Setup!$B$16)^2-(((C18-Setup!$B$18)^2+(D18-Setup!$B$19)^2+(E18-Setup!$B$20)^2)+Setup!$B$27^2+Setup!$B$28^2+Setup!$B$16^2+2*(C18-Setup!$B$18)*Setup!$B$27+2*(D18-Setup!$B$19)*Setup!$B$28-Setup!$B$17^2)^2)))/((((C18-Setup!$B$18)^2+(D18-Setup!$B$19)^2+(E18-Setup!$B$20)^2)+Setup!$B$27^2+Setup!$B$28^2+Setup!$B$16^2+2*(C18-Setup!$B$18)*Setup!$B$27+2*(D18-Setup!$B$19)*Setup!$B$28-Setup!$B$17^2)-(-Setup!$B$16*(SQRT(3)*((C18-Setup!$B$18)+Setup!$B$27)+(D18-Setup!$B$19)+Setup!$B$28))))))</f>
        <v>-2.68596208807493</v>
      </c>
      <c r="G18" s="16" t="n">
        <f aca="false">IF(OR(E18="",((Setup!$B$16*(SQRT(3)*((C18-Setup!$B$18)-Setup!$B$27)-(D18-Setup!$B$19)-Setup!$B$28))^2+(2*(E18-Setup!$B$20)*Setup!$B$16)^2-(((C18-Setup!$B$18)^2+(D18-Setup!$B$19)^2+(E18-Setup!$B$20)^2)+Setup!$B$27^2+Setup!$B$28^2+Setup!$B$16^2-2*(C18-Setup!$B$18)*Setup!$B$27+2*(D18-Setup!$B$19)*Setup!$B$28-Setup!$B$17^2)^2)&lt;0),"",DEGREES(2*ATAN((-(2*(E18-Setup!$B$20)*Setup!$B$16)-SQRT(((Setup!$B$16*(SQRT(3)*((C18-Setup!$B$18)-Setup!$B$27)-(D18-Setup!$B$19)-Setup!$B$28))^2+(2*(E18-Setup!$B$20)*Setup!$B$16)^2-(((C18-Setup!$B$18)^2+(D18-Setup!$B$19)^2+(E18-Setup!$B$20)^2)+Setup!$B$27^2+Setup!$B$28^2+Setup!$B$16^2-2*(C18-Setup!$B$18)*Setup!$B$27+2*(D18-Setup!$B$19)*Setup!$B$28-Setup!$B$17^2)^2)))/((((C18-Setup!$B$18)^2+(D18-Setup!$B$19)^2+(E18-Setup!$B$20)^2)+Setup!$B$27^2+Setup!$B$28^2+Setup!$B$16^2-2*(C18-Setup!$B$18)*Setup!$B$27+2*(D18-Setup!$B$19)*Setup!$B$28-Setup!$B$17^2)-(Setup!$B$16*(SQRT(3)*((C18-Setup!$B$18)-Setup!$B$27)-(D18-Setup!$B$19)-Setup!$B$28))))))</f>
        <v>-2.68596208807493</v>
      </c>
      <c r="H18" s="16" t="n">
        <f aca="false">IF(OR(E18="",((2*Setup!$B$16*((D18-Setup!$B$19)+Setup!$B$26))^2+(2*(E18-Setup!$B$20)*Setup!$B$16)^2-(((C18-Setup!$B$18)^2+(D18-Setup!$B$19)^2+(E18-Setup!$B$20)^2)+Setup!$B$26^2+Setup!$B$16^2+2*(D18-Setup!$B$19)*Setup!$B$26-Setup!$B$17^2)^2)&lt;0),"",DEGREES(2*ATAN((-(2*(E18-Setup!$B$20)*Setup!$B$16)-SQRT(((2*Setup!$B$16*((D18-Setup!$B$19)+Setup!$B$26))^2+(2*(E18-Setup!$B$20)*Setup!$B$16)^2-(((C18-Setup!$B$18)^2+(D18-Setup!$B$19)^2+(E18-Setup!$B$20)^2)+Setup!$B$26^2+Setup!$B$16^2+2*(D18-Setup!$B$19)*Setup!$B$26-Setup!$B$17^2)^2)))/((((C18-Setup!$B$18)^2+(D18-Setup!$B$19)^2+(E18-Setup!$B$20)^2)+Setup!$B$26^2+Setup!$B$16^2+2*(D18-Setup!$B$19)*Setup!$B$26-Setup!$B$17^2)-(2*Setup!$B$16*((D18-Setup!$B$19)+Setup!$B$26))))))</f>
        <v>-2.68596208807494</v>
      </c>
      <c r="I18" s="17"/>
      <c r="J18" s="17"/>
      <c r="K18" s="17"/>
      <c r="L18" s="17"/>
      <c r="M18" s="17"/>
      <c r="N18" s="17"/>
      <c r="O18" s="18" t="str">
        <f aca="false">IF(OR(L18="",F18=""),"",L18-F18)</f>
        <v/>
      </c>
      <c r="P18" s="18" t="str">
        <f aca="false">IF(OR(M18="",G18=""),"",M18-G18)</f>
        <v/>
      </c>
      <c r="Q18" s="18" t="str">
        <f aca="false">IF(OR(N18="",H18=""),"",N18-H18)</f>
        <v/>
      </c>
      <c r="R18" s="11"/>
    </row>
    <row r="19" customFormat="false" ht="15" hidden="false" customHeight="false" outlineLevel="0" collapsed="false">
      <c r="A19" s="15" t="s">
        <v>52</v>
      </c>
      <c r="B19" s="15" t="n">
        <v>14</v>
      </c>
      <c r="C19" s="15" t="n">
        <v>0</v>
      </c>
      <c r="D19" s="15" t="n">
        <v>0</v>
      </c>
      <c r="E19" s="15" t="n">
        <v>-600</v>
      </c>
      <c r="F19" s="16" t="n">
        <f aca="false">IF(OR(E19="",((-Setup!$B$16*(SQRT(3)*((C19-Setup!$B$18)+Setup!$B$27)+(D19-Setup!$B$19)+Setup!$B$28))^2+(2*(E19-Setup!$B$20)*Setup!$B$16)^2-(((C19-Setup!$B$18)^2+(D19-Setup!$B$19)^2+(E19-Setup!$B$20)^2)+Setup!$B$27^2+Setup!$B$28^2+Setup!$B$16^2+2*(C19-Setup!$B$18)*Setup!$B$27+2*(D19-Setup!$B$19)*Setup!$B$28-Setup!$B$17^2)^2)&lt;0),"",DEGREES(2*ATAN((-(2*(E19-Setup!$B$20)*Setup!$B$16)-SQRT(((-Setup!$B$16*(SQRT(3)*((C19-Setup!$B$18)+Setup!$B$27)+(D19-Setup!$B$19)+Setup!$B$28))^2+(2*(E19-Setup!$B$20)*Setup!$B$16)^2-(((C19-Setup!$B$18)^2+(D19-Setup!$B$19)^2+(E19-Setup!$B$20)^2)+Setup!$B$27^2+Setup!$B$28^2+Setup!$B$16^2+2*(C19-Setup!$B$18)*Setup!$B$27+2*(D19-Setup!$B$19)*Setup!$B$28-Setup!$B$17^2)^2)))/((((C19-Setup!$B$18)^2+(D19-Setup!$B$19)^2+(E19-Setup!$B$20)^2)+Setup!$B$27^2+Setup!$B$28^2+Setup!$B$16^2+2*(C19-Setup!$B$18)*Setup!$B$27+2*(D19-Setup!$B$19)*Setup!$B$28-Setup!$B$17^2)-(-Setup!$B$16*(SQRT(3)*((C19-Setup!$B$18)+Setup!$B$27)+(D19-Setup!$B$19)+Setup!$B$28))))))</f>
        <v>-6.01051384084098</v>
      </c>
      <c r="G19" s="16" t="n">
        <f aca="false">IF(OR(E19="",((Setup!$B$16*(SQRT(3)*((C19-Setup!$B$18)-Setup!$B$27)-(D19-Setup!$B$19)-Setup!$B$28))^2+(2*(E19-Setup!$B$20)*Setup!$B$16)^2-(((C19-Setup!$B$18)^2+(D19-Setup!$B$19)^2+(E19-Setup!$B$20)^2)+Setup!$B$27^2+Setup!$B$28^2+Setup!$B$16^2-2*(C19-Setup!$B$18)*Setup!$B$27+2*(D19-Setup!$B$19)*Setup!$B$28-Setup!$B$17^2)^2)&lt;0),"",DEGREES(2*ATAN((-(2*(E19-Setup!$B$20)*Setup!$B$16)-SQRT(((Setup!$B$16*(SQRT(3)*((C19-Setup!$B$18)-Setup!$B$27)-(D19-Setup!$B$19)-Setup!$B$28))^2+(2*(E19-Setup!$B$20)*Setup!$B$16)^2-(((C19-Setup!$B$18)^2+(D19-Setup!$B$19)^2+(E19-Setup!$B$20)^2)+Setup!$B$27^2+Setup!$B$28^2+Setup!$B$16^2-2*(C19-Setup!$B$18)*Setup!$B$27+2*(D19-Setup!$B$19)*Setup!$B$28-Setup!$B$17^2)^2)))/((((C19-Setup!$B$18)^2+(D19-Setup!$B$19)^2+(E19-Setup!$B$20)^2)+Setup!$B$27^2+Setup!$B$28^2+Setup!$B$16^2-2*(C19-Setup!$B$18)*Setup!$B$27+2*(D19-Setup!$B$19)*Setup!$B$28-Setup!$B$17^2)-(Setup!$B$16*(SQRT(3)*((C19-Setup!$B$18)-Setup!$B$27)-(D19-Setup!$B$19)-Setup!$B$28))))))</f>
        <v>-6.01051384084098</v>
      </c>
      <c r="H19" s="16" t="n">
        <f aca="false">IF(OR(E19="",((2*Setup!$B$16*((D19-Setup!$B$19)+Setup!$B$26))^2+(2*(E19-Setup!$B$20)*Setup!$B$16)^2-(((C19-Setup!$B$18)^2+(D19-Setup!$B$19)^2+(E19-Setup!$B$20)^2)+Setup!$B$26^2+Setup!$B$16^2+2*(D19-Setup!$B$19)*Setup!$B$26-Setup!$B$17^2)^2)&lt;0),"",DEGREES(2*ATAN((-(2*(E19-Setup!$B$20)*Setup!$B$16)-SQRT(((2*Setup!$B$16*((D19-Setup!$B$19)+Setup!$B$26))^2+(2*(E19-Setup!$B$20)*Setup!$B$16)^2-(((C19-Setup!$B$18)^2+(D19-Setup!$B$19)^2+(E19-Setup!$B$20)^2)+Setup!$B$26^2+Setup!$B$16^2+2*(D19-Setup!$B$19)*Setup!$B$26-Setup!$B$17^2)^2)))/((((C19-Setup!$B$18)^2+(D19-Setup!$B$19)^2+(E19-Setup!$B$20)^2)+Setup!$B$26^2+Setup!$B$16^2+2*(D19-Setup!$B$19)*Setup!$B$26-Setup!$B$17^2)-(2*Setup!$B$16*((D19-Setup!$B$19)+Setup!$B$26))))))</f>
        <v>-6.01051384084098</v>
      </c>
      <c r="I19" s="17"/>
      <c r="J19" s="17"/>
      <c r="K19" s="17"/>
      <c r="L19" s="17"/>
      <c r="M19" s="17"/>
      <c r="N19" s="17"/>
      <c r="O19" s="18" t="str">
        <f aca="false">IF(OR(L19="",F19=""),"",L19-F19)</f>
        <v/>
      </c>
      <c r="P19" s="18" t="str">
        <f aca="false">IF(OR(M19="",G19=""),"",M19-G19)</f>
        <v/>
      </c>
      <c r="Q19" s="18" t="str">
        <f aca="false">IF(OR(N19="",H19=""),"",N19-H19)</f>
        <v/>
      </c>
      <c r="R19" s="11"/>
    </row>
    <row r="20" customFormat="false" ht="15" hidden="false" customHeight="false" outlineLevel="0" collapsed="false">
      <c r="A20" s="15" t="s">
        <v>52</v>
      </c>
      <c r="B20" s="15" t="n">
        <v>15</v>
      </c>
      <c r="C20" s="15" t="n">
        <v>0</v>
      </c>
      <c r="D20" s="15" t="n">
        <v>0</v>
      </c>
      <c r="E20" s="15" t="n">
        <v>-590</v>
      </c>
      <c r="F20" s="16" t="n">
        <f aca="false">IF(OR(E20="",((-Setup!$B$16*(SQRT(3)*((C20-Setup!$B$18)+Setup!$B$27)+(D20-Setup!$B$19)+Setup!$B$28))^2+(2*(E20-Setup!$B$20)*Setup!$B$16)^2-(((C20-Setup!$B$18)^2+(D20-Setup!$B$19)^2+(E20-Setup!$B$20)^2)+Setup!$B$27^2+Setup!$B$28^2+Setup!$B$16^2+2*(C20-Setup!$B$18)*Setup!$B$27+2*(D20-Setup!$B$19)*Setup!$B$28-Setup!$B$17^2)^2)&lt;0),"",DEGREES(2*ATAN((-(2*(E20-Setup!$B$20)*Setup!$B$16)-SQRT(((-Setup!$B$16*(SQRT(3)*((C20-Setup!$B$18)+Setup!$B$27)+(D20-Setup!$B$19)+Setup!$B$28))^2+(2*(E20-Setup!$B$20)*Setup!$B$16)^2-(((C20-Setup!$B$18)^2+(D20-Setup!$B$19)^2+(E20-Setup!$B$20)^2)+Setup!$B$27^2+Setup!$B$28^2+Setup!$B$16^2+2*(C20-Setup!$B$18)*Setup!$B$27+2*(D20-Setup!$B$19)*Setup!$B$28-Setup!$B$17^2)^2)))/((((C20-Setup!$B$18)^2+(D20-Setup!$B$19)^2+(E20-Setup!$B$20)^2)+Setup!$B$27^2+Setup!$B$28^2+Setup!$B$16^2+2*(C20-Setup!$B$18)*Setup!$B$27+2*(D20-Setup!$B$19)*Setup!$B$28-Setup!$B$17^2)-(-Setup!$B$16*(SQRT(3)*((C20-Setup!$B$18)+Setup!$B$27)+(D20-Setup!$B$19)+Setup!$B$28))))))</f>
        <v>-9.41859356991373</v>
      </c>
      <c r="G20" s="16" t="n">
        <f aca="false">IF(OR(E20="",((Setup!$B$16*(SQRT(3)*((C20-Setup!$B$18)-Setup!$B$27)-(D20-Setup!$B$19)-Setup!$B$28))^2+(2*(E20-Setup!$B$20)*Setup!$B$16)^2-(((C20-Setup!$B$18)^2+(D20-Setup!$B$19)^2+(E20-Setup!$B$20)^2)+Setup!$B$27^2+Setup!$B$28^2+Setup!$B$16^2-2*(C20-Setup!$B$18)*Setup!$B$27+2*(D20-Setup!$B$19)*Setup!$B$28-Setup!$B$17^2)^2)&lt;0),"",DEGREES(2*ATAN((-(2*(E20-Setup!$B$20)*Setup!$B$16)-SQRT(((Setup!$B$16*(SQRT(3)*((C20-Setup!$B$18)-Setup!$B$27)-(D20-Setup!$B$19)-Setup!$B$28))^2+(2*(E20-Setup!$B$20)*Setup!$B$16)^2-(((C20-Setup!$B$18)^2+(D20-Setup!$B$19)^2+(E20-Setup!$B$20)^2)+Setup!$B$27^2+Setup!$B$28^2+Setup!$B$16^2-2*(C20-Setup!$B$18)*Setup!$B$27+2*(D20-Setup!$B$19)*Setup!$B$28-Setup!$B$17^2)^2)))/((((C20-Setup!$B$18)^2+(D20-Setup!$B$19)^2+(E20-Setup!$B$20)^2)+Setup!$B$27^2+Setup!$B$28^2+Setup!$B$16^2-2*(C20-Setup!$B$18)*Setup!$B$27+2*(D20-Setup!$B$19)*Setup!$B$28-Setup!$B$17^2)-(Setup!$B$16*(SQRT(3)*((C20-Setup!$B$18)-Setup!$B$27)-(D20-Setup!$B$19)-Setup!$B$28))))))</f>
        <v>-9.41859356991373</v>
      </c>
      <c r="H20" s="16" t="n">
        <f aca="false">IF(OR(E20="",((2*Setup!$B$16*((D20-Setup!$B$19)+Setup!$B$26))^2+(2*(E20-Setup!$B$20)*Setup!$B$16)^2-(((C20-Setup!$B$18)^2+(D20-Setup!$B$19)^2+(E20-Setup!$B$20)^2)+Setup!$B$26^2+Setup!$B$16^2+2*(D20-Setup!$B$19)*Setup!$B$26-Setup!$B$17^2)^2)&lt;0),"",DEGREES(2*ATAN((-(2*(E20-Setup!$B$20)*Setup!$B$16)-SQRT(((2*Setup!$B$16*((D20-Setup!$B$19)+Setup!$B$26))^2+(2*(E20-Setup!$B$20)*Setup!$B$16)^2-(((C20-Setup!$B$18)^2+(D20-Setup!$B$19)^2+(E20-Setup!$B$20)^2)+Setup!$B$26^2+Setup!$B$16^2+2*(D20-Setup!$B$19)*Setup!$B$26-Setup!$B$17^2)^2)))/((((C20-Setup!$B$18)^2+(D20-Setup!$B$19)^2+(E20-Setup!$B$20)^2)+Setup!$B$26^2+Setup!$B$16^2+2*(D20-Setup!$B$19)*Setup!$B$26-Setup!$B$17^2)-(2*Setup!$B$16*((D20-Setup!$B$19)+Setup!$B$26))))))</f>
        <v>-9.41859356991373</v>
      </c>
      <c r="I20" s="17"/>
      <c r="J20" s="17"/>
      <c r="K20" s="17"/>
      <c r="L20" s="17"/>
      <c r="M20" s="17"/>
      <c r="N20" s="17"/>
      <c r="O20" s="18" t="str">
        <f aca="false">IF(OR(L20="",F20=""),"",L20-F20)</f>
        <v/>
      </c>
      <c r="P20" s="18" t="str">
        <f aca="false">IF(OR(M20="",G20=""),"",M20-G20)</f>
        <v/>
      </c>
      <c r="Q20" s="18" t="str">
        <f aca="false">IF(OR(N20="",H20=""),"",N20-H20)</f>
        <v/>
      </c>
      <c r="R20" s="11"/>
    </row>
    <row r="21" customFormat="false" ht="15" hidden="false" customHeight="false" outlineLevel="0" collapsed="false">
      <c r="A21" s="15" t="s">
        <v>52</v>
      </c>
      <c r="B21" s="15" t="n">
        <v>16</v>
      </c>
      <c r="C21" s="15" t="n">
        <v>0</v>
      </c>
      <c r="D21" s="15" t="n">
        <v>0</v>
      </c>
      <c r="E21" s="15" t="n">
        <v>-580</v>
      </c>
      <c r="F21" s="16" t="n">
        <f aca="false">IF(OR(E21="",((-Setup!$B$16*(SQRT(3)*((C21-Setup!$B$18)+Setup!$B$27)+(D21-Setup!$B$19)+Setup!$B$28))^2+(2*(E21-Setup!$B$20)*Setup!$B$16)^2-(((C21-Setup!$B$18)^2+(D21-Setup!$B$19)^2+(E21-Setup!$B$20)^2)+Setup!$B$27^2+Setup!$B$28^2+Setup!$B$16^2+2*(C21-Setup!$B$18)*Setup!$B$27+2*(D21-Setup!$B$19)*Setup!$B$28-Setup!$B$17^2)^2)&lt;0),"",DEGREES(2*ATAN((-(2*(E21-Setup!$B$20)*Setup!$B$16)-SQRT(((-Setup!$B$16*(SQRT(3)*((C21-Setup!$B$18)+Setup!$B$27)+(D21-Setup!$B$19)+Setup!$B$28))^2+(2*(E21-Setup!$B$20)*Setup!$B$16)^2-(((C21-Setup!$B$18)^2+(D21-Setup!$B$19)^2+(E21-Setup!$B$20)^2)+Setup!$B$27^2+Setup!$B$28^2+Setup!$B$16^2+2*(C21-Setup!$B$18)*Setup!$B$27+2*(D21-Setup!$B$19)*Setup!$B$28-Setup!$B$17^2)^2)))/((((C21-Setup!$B$18)^2+(D21-Setup!$B$19)^2+(E21-Setup!$B$20)^2)+Setup!$B$27^2+Setup!$B$28^2+Setup!$B$16^2+2*(C21-Setup!$B$18)*Setup!$B$27+2*(D21-Setup!$B$19)*Setup!$B$28-Setup!$B$17^2)-(-Setup!$B$16*(SQRT(3)*((C21-Setup!$B$18)+Setup!$B$27)+(D21-Setup!$B$19)+Setup!$B$28))))))</f>
        <v>-12.92816936385</v>
      </c>
      <c r="G21" s="16" t="n">
        <f aca="false">IF(OR(E21="",((Setup!$B$16*(SQRT(3)*((C21-Setup!$B$18)-Setup!$B$27)-(D21-Setup!$B$19)-Setup!$B$28))^2+(2*(E21-Setup!$B$20)*Setup!$B$16)^2-(((C21-Setup!$B$18)^2+(D21-Setup!$B$19)^2+(E21-Setup!$B$20)^2)+Setup!$B$27^2+Setup!$B$28^2+Setup!$B$16^2-2*(C21-Setup!$B$18)*Setup!$B$27+2*(D21-Setup!$B$19)*Setup!$B$28-Setup!$B$17^2)^2)&lt;0),"",DEGREES(2*ATAN((-(2*(E21-Setup!$B$20)*Setup!$B$16)-SQRT(((Setup!$B$16*(SQRT(3)*((C21-Setup!$B$18)-Setup!$B$27)-(D21-Setup!$B$19)-Setup!$B$28))^2+(2*(E21-Setup!$B$20)*Setup!$B$16)^2-(((C21-Setup!$B$18)^2+(D21-Setup!$B$19)^2+(E21-Setup!$B$20)^2)+Setup!$B$27^2+Setup!$B$28^2+Setup!$B$16^2-2*(C21-Setup!$B$18)*Setup!$B$27+2*(D21-Setup!$B$19)*Setup!$B$28-Setup!$B$17^2)^2)))/((((C21-Setup!$B$18)^2+(D21-Setup!$B$19)^2+(E21-Setup!$B$20)^2)+Setup!$B$27^2+Setup!$B$28^2+Setup!$B$16^2-2*(C21-Setup!$B$18)*Setup!$B$27+2*(D21-Setup!$B$19)*Setup!$B$28-Setup!$B$17^2)-(Setup!$B$16*(SQRT(3)*((C21-Setup!$B$18)-Setup!$B$27)-(D21-Setup!$B$19)-Setup!$B$28))))))</f>
        <v>-12.92816936385</v>
      </c>
      <c r="H21" s="16" t="n">
        <f aca="false">IF(OR(E21="",((2*Setup!$B$16*((D21-Setup!$B$19)+Setup!$B$26))^2+(2*(E21-Setup!$B$20)*Setup!$B$16)^2-(((C21-Setup!$B$18)^2+(D21-Setup!$B$19)^2+(E21-Setup!$B$20)^2)+Setup!$B$26^2+Setup!$B$16^2+2*(D21-Setup!$B$19)*Setup!$B$26-Setup!$B$17^2)^2)&lt;0),"",DEGREES(2*ATAN((-(2*(E21-Setup!$B$20)*Setup!$B$16)-SQRT(((2*Setup!$B$16*((D21-Setup!$B$19)+Setup!$B$26))^2+(2*(E21-Setup!$B$20)*Setup!$B$16)^2-(((C21-Setup!$B$18)^2+(D21-Setup!$B$19)^2+(E21-Setup!$B$20)^2)+Setup!$B$26^2+Setup!$B$16^2+2*(D21-Setup!$B$19)*Setup!$B$26-Setup!$B$17^2)^2)))/((((C21-Setup!$B$18)^2+(D21-Setup!$B$19)^2+(E21-Setup!$B$20)^2)+Setup!$B$26^2+Setup!$B$16^2+2*(D21-Setup!$B$19)*Setup!$B$26-Setup!$B$17^2)-(2*Setup!$B$16*((D21-Setup!$B$19)+Setup!$B$26))))))</f>
        <v>-12.92816936385</v>
      </c>
      <c r="I21" s="17"/>
      <c r="J21" s="17"/>
      <c r="K21" s="17"/>
      <c r="L21" s="17"/>
      <c r="M21" s="17"/>
      <c r="N21" s="17"/>
      <c r="O21" s="18" t="str">
        <f aca="false">IF(OR(L21="",F21=""),"",L21-F21)</f>
        <v/>
      </c>
      <c r="P21" s="18" t="str">
        <f aca="false">IF(OR(M21="",G21=""),"",M21-G21)</f>
        <v/>
      </c>
      <c r="Q21" s="18" t="str">
        <f aca="false">IF(OR(N21="",H21=""),"",N21-H21)</f>
        <v/>
      </c>
      <c r="R21" s="11"/>
    </row>
    <row r="22" customFormat="false" ht="15" hidden="false" customHeight="false" outlineLevel="0" collapsed="false">
      <c r="A22" s="15" t="s">
        <v>52</v>
      </c>
      <c r="B22" s="15" t="n">
        <v>17</v>
      </c>
      <c r="C22" s="15" t="n">
        <v>0</v>
      </c>
      <c r="D22" s="15" t="n">
        <v>0</v>
      </c>
      <c r="E22" s="15" t="n">
        <v>-570</v>
      </c>
      <c r="F22" s="16" t="n">
        <f aca="false">IF(OR(E22="",((-Setup!$B$16*(SQRT(3)*((C22-Setup!$B$18)+Setup!$B$27)+(D22-Setup!$B$19)+Setup!$B$28))^2+(2*(E22-Setup!$B$20)*Setup!$B$16)^2-(((C22-Setup!$B$18)^2+(D22-Setup!$B$19)^2+(E22-Setup!$B$20)^2)+Setup!$B$27^2+Setup!$B$28^2+Setup!$B$16^2+2*(C22-Setup!$B$18)*Setup!$B$27+2*(D22-Setup!$B$19)*Setup!$B$28-Setup!$B$17^2)^2)&lt;0),"",DEGREES(2*ATAN((-(2*(E22-Setup!$B$20)*Setup!$B$16)-SQRT(((-Setup!$B$16*(SQRT(3)*((C22-Setup!$B$18)+Setup!$B$27)+(D22-Setup!$B$19)+Setup!$B$28))^2+(2*(E22-Setup!$B$20)*Setup!$B$16)^2-(((C22-Setup!$B$18)^2+(D22-Setup!$B$19)^2+(E22-Setup!$B$20)^2)+Setup!$B$27^2+Setup!$B$28^2+Setup!$B$16^2+2*(C22-Setup!$B$18)*Setup!$B$27+2*(D22-Setup!$B$19)*Setup!$B$28-Setup!$B$17^2)^2)))/((((C22-Setup!$B$18)^2+(D22-Setup!$B$19)^2+(E22-Setup!$B$20)^2)+Setup!$B$27^2+Setup!$B$28^2+Setup!$B$16^2+2*(C22-Setup!$B$18)*Setup!$B$27+2*(D22-Setup!$B$19)*Setup!$B$28-Setup!$B$17^2)-(-Setup!$B$16*(SQRT(3)*((C22-Setup!$B$18)+Setup!$B$27)+(D22-Setup!$B$19)+Setup!$B$28))))))</f>
        <v>-16.5605421019368</v>
      </c>
      <c r="G22" s="16" t="n">
        <f aca="false">IF(OR(E22="",((Setup!$B$16*(SQRT(3)*((C22-Setup!$B$18)-Setup!$B$27)-(D22-Setup!$B$19)-Setup!$B$28))^2+(2*(E22-Setup!$B$20)*Setup!$B$16)^2-(((C22-Setup!$B$18)^2+(D22-Setup!$B$19)^2+(E22-Setup!$B$20)^2)+Setup!$B$27^2+Setup!$B$28^2+Setup!$B$16^2-2*(C22-Setup!$B$18)*Setup!$B$27+2*(D22-Setup!$B$19)*Setup!$B$28-Setup!$B$17^2)^2)&lt;0),"",DEGREES(2*ATAN((-(2*(E22-Setup!$B$20)*Setup!$B$16)-SQRT(((Setup!$B$16*(SQRT(3)*((C22-Setup!$B$18)-Setup!$B$27)-(D22-Setup!$B$19)-Setup!$B$28))^2+(2*(E22-Setup!$B$20)*Setup!$B$16)^2-(((C22-Setup!$B$18)^2+(D22-Setup!$B$19)^2+(E22-Setup!$B$20)^2)+Setup!$B$27^2+Setup!$B$28^2+Setup!$B$16^2-2*(C22-Setup!$B$18)*Setup!$B$27+2*(D22-Setup!$B$19)*Setup!$B$28-Setup!$B$17^2)^2)))/((((C22-Setup!$B$18)^2+(D22-Setup!$B$19)^2+(E22-Setup!$B$20)^2)+Setup!$B$27^2+Setup!$B$28^2+Setup!$B$16^2-2*(C22-Setup!$B$18)*Setup!$B$27+2*(D22-Setup!$B$19)*Setup!$B$28-Setup!$B$17^2)-(Setup!$B$16*(SQRT(3)*((C22-Setup!$B$18)-Setup!$B$27)-(D22-Setup!$B$19)-Setup!$B$28))))))</f>
        <v>-16.5605421019368</v>
      </c>
      <c r="H22" s="16" t="n">
        <f aca="false">IF(OR(E22="",((2*Setup!$B$16*((D22-Setup!$B$19)+Setup!$B$26))^2+(2*(E22-Setup!$B$20)*Setup!$B$16)^2-(((C22-Setup!$B$18)^2+(D22-Setup!$B$19)^2+(E22-Setup!$B$20)^2)+Setup!$B$26^2+Setup!$B$16^2+2*(D22-Setup!$B$19)*Setup!$B$26-Setup!$B$17^2)^2)&lt;0),"",DEGREES(2*ATAN((-(2*(E22-Setup!$B$20)*Setup!$B$16)-SQRT(((2*Setup!$B$16*((D22-Setup!$B$19)+Setup!$B$26))^2+(2*(E22-Setup!$B$20)*Setup!$B$16)^2-(((C22-Setup!$B$18)^2+(D22-Setup!$B$19)^2+(E22-Setup!$B$20)^2)+Setup!$B$26^2+Setup!$B$16^2+2*(D22-Setup!$B$19)*Setup!$B$26-Setup!$B$17^2)^2)))/((((C22-Setup!$B$18)^2+(D22-Setup!$B$19)^2+(E22-Setup!$B$20)^2)+Setup!$B$26^2+Setup!$B$16^2+2*(D22-Setup!$B$19)*Setup!$B$26-Setup!$B$17^2)-(2*Setup!$B$16*((D22-Setup!$B$19)+Setup!$B$26))))))</f>
        <v>-16.5605421019368</v>
      </c>
      <c r="I22" s="17"/>
      <c r="J22" s="17"/>
      <c r="K22" s="17"/>
      <c r="L22" s="17"/>
      <c r="M22" s="17"/>
      <c r="N22" s="17"/>
      <c r="O22" s="18" t="str">
        <f aca="false">IF(OR(L22="",F22=""),"",L22-F22)</f>
        <v/>
      </c>
      <c r="P22" s="18" t="str">
        <f aca="false">IF(OR(M22="",G22=""),"",M22-G22)</f>
        <v/>
      </c>
      <c r="Q22" s="18" t="str">
        <f aca="false">IF(OR(N22="",H22=""),"",N22-H22)</f>
        <v/>
      </c>
      <c r="R22" s="11"/>
    </row>
    <row r="23" customFormat="false" ht="15" hidden="false" customHeight="false" outlineLevel="0" collapsed="false">
      <c r="A23" s="15" t="s">
        <v>99</v>
      </c>
      <c r="B23" s="15" t="n">
        <v>1</v>
      </c>
      <c r="C23" s="15" t="n">
        <v>0</v>
      </c>
      <c r="D23" s="15" t="n">
        <v>0</v>
      </c>
      <c r="E23" s="15" t="n">
        <v>-570</v>
      </c>
      <c r="F23" s="16" t="n">
        <f aca="false">IF(OR(E23="",((-Setup!$B$16*(SQRT(3)*((C23-Setup!$B$18)+Setup!$B$27)+(D23-Setup!$B$19)+Setup!$B$28))^2+(2*(E23-Setup!$B$20)*Setup!$B$16)^2-(((C23-Setup!$B$18)^2+(D23-Setup!$B$19)^2+(E23-Setup!$B$20)^2)+Setup!$B$27^2+Setup!$B$28^2+Setup!$B$16^2+2*(C23-Setup!$B$18)*Setup!$B$27+2*(D23-Setup!$B$19)*Setup!$B$28-Setup!$B$17^2)^2)&lt;0),"",DEGREES(2*ATAN((-(2*(E23-Setup!$B$20)*Setup!$B$16)-SQRT(((-Setup!$B$16*(SQRT(3)*((C23-Setup!$B$18)+Setup!$B$27)+(D23-Setup!$B$19)+Setup!$B$28))^2+(2*(E23-Setup!$B$20)*Setup!$B$16)^2-(((C23-Setup!$B$18)^2+(D23-Setup!$B$19)^2+(E23-Setup!$B$20)^2)+Setup!$B$27^2+Setup!$B$28^2+Setup!$B$16^2+2*(C23-Setup!$B$18)*Setup!$B$27+2*(D23-Setup!$B$19)*Setup!$B$28-Setup!$B$17^2)^2)))/((((C23-Setup!$B$18)^2+(D23-Setup!$B$19)^2+(E23-Setup!$B$20)^2)+Setup!$B$27^2+Setup!$B$28^2+Setup!$B$16^2+2*(C23-Setup!$B$18)*Setup!$B$27+2*(D23-Setup!$B$19)*Setup!$B$28-Setup!$B$17^2)-(-Setup!$B$16*(SQRT(3)*((C23-Setup!$B$18)+Setup!$B$27)+(D23-Setup!$B$19)+Setup!$B$28))))))</f>
        <v>-16.5605421019368</v>
      </c>
      <c r="G23" s="16" t="n">
        <f aca="false">IF(OR(E23="",((Setup!$B$16*(SQRT(3)*((C23-Setup!$B$18)-Setup!$B$27)-(D23-Setup!$B$19)-Setup!$B$28))^2+(2*(E23-Setup!$B$20)*Setup!$B$16)^2-(((C23-Setup!$B$18)^2+(D23-Setup!$B$19)^2+(E23-Setup!$B$20)^2)+Setup!$B$27^2+Setup!$B$28^2+Setup!$B$16^2-2*(C23-Setup!$B$18)*Setup!$B$27+2*(D23-Setup!$B$19)*Setup!$B$28-Setup!$B$17^2)^2)&lt;0),"",DEGREES(2*ATAN((-(2*(E23-Setup!$B$20)*Setup!$B$16)-SQRT(((Setup!$B$16*(SQRT(3)*((C23-Setup!$B$18)-Setup!$B$27)-(D23-Setup!$B$19)-Setup!$B$28))^2+(2*(E23-Setup!$B$20)*Setup!$B$16)^2-(((C23-Setup!$B$18)^2+(D23-Setup!$B$19)^2+(E23-Setup!$B$20)^2)+Setup!$B$27^2+Setup!$B$28^2+Setup!$B$16^2-2*(C23-Setup!$B$18)*Setup!$B$27+2*(D23-Setup!$B$19)*Setup!$B$28-Setup!$B$17^2)^2)))/((((C23-Setup!$B$18)^2+(D23-Setup!$B$19)^2+(E23-Setup!$B$20)^2)+Setup!$B$27^2+Setup!$B$28^2+Setup!$B$16^2-2*(C23-Setup!$B$18)*Setup!$B$27+2*(D23-Setup!$B$19)*Setup!$B$28-Setup!$B$17^2)-(Setup!$B$16*(SQRT(3)*((C23-Setup!$B$18)-Setup!$B$27)-(D23-Setup!$B$19)-Setup!$B$28))))))</f>
        <v>-16.5605421019368</v>
      </c>
      <c r="H23" s="16" t="n">
        <f aca="false">IF(OR(E23="",((2*Setup!$B$16*((D23-Setup!$B$19)+Setup!$B$26))^2+(2*(E23-Setup!$B$20)*Setup!$B$16)^2-(((C23-Setup!$B$18)^2+(D23-Setup!$B$19)^2+(E23-Setup!$B$20)^2)+Setup!$B$26^2+Setup!$B$16^2+2*(D23-Setup!$B$19)*Setup!$B$26-Setup!$B$17^2)^2)&lt;0),"",DEGREES(2*ATAN((-(2*(E23-Setup!$B$20)*Setup!$B$16)-SQRT(((2*Setup!$B$16*((D23-Setup!$B$19)+Setup!$B$26))^2+(2*(E23-Setup!$B$20)*Setup!$B$16)^2-(((C23-Setup!$B$18)^2+(D23-Setup!$B$19)^2+(E23-Setup!$B$20)^2)+Setup!$B$26^2+Setup!$B$16^2+2*(D23-Setup!$B$19)*Setup!$B$26-Setup!$B$17^2)^2)))/((((C23-Setup!$B$18)^2+(D23-Setup!$B$19)^2+(E23-Setup!$B$20)^2)+Setup!$B$26^2+Setup!$B$16^2+2*(D23-Setup!$B$19)*Setup!$B$26-Setup!$B$17^2)-(2*Setup!$B$16*((D23-Setup!$B$19)+Setup!$B$26))))))</f>
        <v>-16.5605421019368</v>
      </c>
      <c r="I23" s="17"/>
      <c r="J23" s="17"/>
      <c r="K23" s="17"/>
      <c r="L23" s="17"/>
      <c r="M23" s="17"/>
      <c r="N23" s="17"/>
      <c r="O23" s="18" t="str">
        <f aca="false">IF(OR(L23="",F23=""),"",L23-F23)</f>
        <v/>
      </c>
      <c r="P23" s="18" t="str">
        <f aca="false">IF(OR(M23="",G23=""),"",M23-G23)</f>
        <v/>
      </c>
      <c r="Q23" s="18" t="str">
        <f aca="false">IF(OR(N23="",H23=""),"",N23-H23)</f>
        <v/>
      </c>
      <c r="R23" s="11"/>
    </row>
    <row r="24" customFormat="false" ht="15" hidden="false" customHeight="false" outlineLevel="0" collapsed="false">
      <c r="A24" s="15" t="s">
        <v>99</v>
      </c>
      <c r="B24" s="15" t="n">
        <v>2</v>
      </c>
      <c r="C24" s="15" t="n">
        <v>0</v>
      </c>
      <c r="D24" s="15" t="n">
        <v>0</v>
      </c>
      <c r="E24" s="15" t="n">
        <v>-580</v>
      </c>
      <c r="F24" s="16" t="n">
        <f aca="false">IF(OR(E24="",((-Setup!$B$16*(SQRT(3)*((C24-Setup!$B$18)+Setup!$B$27)+(D24-Setup!$B$19)+Setup!$B$28))^2+(2*(E24-Setup!$B$20)*Setup!$B$16)^2-(((C24-Setup!$B$18)^2+(D24-Setup!$B$19)^2+(E24-Setup!$B$20)^2)+Setup!$B$27^2+Setup!$B$28^2+Setup!$B$16^2+2*(C24-Setup!$B$18)*Setup!$B$27+2*(D24-Setup!$B$19)*Setup!$B$28-Setup!$B$17^2)^2)&lt;0),"",DEGREES(2*ATAN((-(2*(E24-Setup!$B$20)*Setup!$B$16)-SQRT(((-Setup!$B$16*(SQRT(3)*((C24-Setup!$B$18)+Setup!$B$27)+(D24-Setup!$B$19)+Setup!$B$28))^2+(2*(E24-Setup!$B$20)*Setup!$B$16)^2-(((C24-Setup!$B$18)^2+(D24-Setup!$B$19)^2+(E24-Setup!$B$20)^2)+Setup!$B$27^2+Setup!$B$28^2+Setup!$B$16^2+2*(C24-Setup!$B$18)*Setup!$B$27+2*(D24-Setup!$B$19)*Setup!$B$28-Setup!$B$17^2)^2)))/((((C24-Setup!$B$18)^2+(D24-Setup!$B$19)^2+(E24-Setup!$B$20)^2)+Setup!$B$27^2+Setup!$B$28^2+Setup!$B$16^2+2*(C24-Setup!$B$18)*Setup!$B$27+2*(D24-Setup!$B$19)*Setup!$B$28-Setup!$B$17^2)-(-Setup!$B$16*(SQRT(3)*((C24-Setup!$B$18)+Setup!$B$27)+(D24-Setup!$B$19)+Setup!$B$28))))))</f>
        <v>-12.92816936385</v>
      </c>
      <c r="G24" s="16" t="n">
        <f aca="false">IF(OR(E24="",((Setup!$B$16*(SQRT(3)*((C24-Setup!$B$18)-Setup!$B$27)-(D24-Setup!$B$19)-Setup!$B$28))^2+(2*(E24-Setup!$B$20)*Setup!$B$16)^2-(((C24-Setup!$B$18)^2+(D24-Setup!$B$19)^2+(E24-Setup!$B$20)^2)+Setup!$B$27^2+Setup!$B$28^2+Setup!$B$16^2-2*(C24-Setup!$B$18)*Setup!$B$27+2*(D24-Setup!$B$19)*Setup!$B$28-Setup!$B$17^2)^2)&lt;0),"",DEGREES(2*ATAN((-(2*(E24-Setup!$B$20)*Setup!$B$16)-SQRT(((Setup!$B$16*(SQRT(3)*((C24-Setup!$B$18)-Setup!$B$27)-(D24-Setup!$B$19)-Setup!$B$28))^2+(2*(E24-Setup!$B$20)*Setup!$B$16)^2-(((C24-Setup!$B$18)^2+(D24-Setup!$B$19)^2+(E24-Setup!$B$20)^2)+Setup!$B$27^2+Setup!$B$28^2+Setup!$B$16^2-2*(C24-Setup!$B$18)*Setup!$B$27+2*(D24-Setup!$B$19)*Setup!$B$28-Setup!$B$17^2)^2)))/((((C24-Setup!$B$18)^2+(D24-Setup!$B$19)^2+(E24-Setup!$B$20)^2)+Setup!$B$27^2+Setup!$B$28^2+Setup!$B$16^2-2*(C24-Setup!$B$18)*Setup!$B$27+2*(D24-Setup!$B$19)*Setup!$B$28-Setup!$B$17^2)-(Setup!$B$16*(SQRT(3)*((C24-Setup!$B$18)-Setup!$B$27)-(D24-Setup!$B$19)-Setup!$B$28))))))</f>
        <v>-12.92816936385</v>
      </c>
      <c r="H24" s="16" t="n">
        <f aca="false">IF(OR(E24="",((2*Setup!$B$16*((D24-Setup!$B$19)+Setup!$B$26))^2+(2*(E24-Setup!$B$20)*Setup!$B$16)^2-(((C24-Setup!$B$18)^2+(D24-Setup!$B$19)^2+(E24-Setup!$B$20)^2)+Setup!$B$26^2+Setup!$B$16^2+2*(D24-Setup!$B$19)*Setup!$B$26-Setup!$B$17^2)^2)&lt;0),"",DEGREES(2*ATAN((-(2*(E24-Setup!$B$20)*Setup!$B$16)-SQRT(((2*Setup!$B$16*((D24-Setup!$B$19)+Setup!$B$26))^2+(2*(E24-Setup!$B$20)*Setup!$B$16)^2-(((C24-Setup!$B$18)^2+(D24-Setup!$B$19)^2+(E24-Setup!$B$20)^2)+Setup!$B$26^2+Setup!$B$16^2+2*(D24-Setup!$B$19)*Setup!$B$26-Setup!$B$17^2)^2)))/((((C24-Setup!$B$18)^2+(D24-Setup!$B$19)^2+(E24-Setup!$B$20)^2)+Setup!$B$26^2+Setup!$B$16^2+2*(D24-Setup!$B$19)*Setup!$B$26-Setup!$B$17^2)-(2*Setup!$B$16*((D24-Setup!$B$19)+Setup!$B$26))))))</f>
        <v>-12.92816936385</v>
      </c>
      <c r="I24" s="17"/>
      <c r="J24" s="17"/>
      <c r="K24" s="17"/>
      <c r="L24" s="17"/>
      <c r="M24" s="17"/>
      <c r="N24" s="17"/>
      <c r="O24" s="18" t="str">
        <f aca="false">IF(OR(L24="",F24=""),"",L24-F24)</f>
        <v/>
      </c>
      <c r="P24" s="18" t="str">
        <f aca="false">IF(OR(M24="",G24=""),"",M24-G24)</f>
        <v/>
      </c>
      <c r="Q24" s="18" t="str">
        <f aca="false">IF(OR(N24="",H24=""),"",N24-H24)</f>
        <v/>
      </c>
      <c r="R24" s="11"/>
    </row>
    <row r="25" customFormat="false" ht="15" hidden="false" customHeight="false" outlineLevel="0" collapsed="false">
      <c r="A25" s="15" t="s">
        <v>99</v>
      </c>
      <c r="B25" s="15" t="n">
        <v>3</v>
      </c>
      <c r="C25" s="15" t="n">
        <v>0</v>
      </c>
      <c r="D25" s="15" t="n">
        <v>0</v>
      </c>
      <c r="E25" s="15" t="n">
        <v>-590</v>
      </c>
      <c r="F25" s="16" t="n">
        <f aca="false">IF(OR(E25="",((-Setup!$B$16*(SQRT(3)*((C25-Setup!$B$18)+Setup!$B$27)+(D25-Setup!$B$19)+Setup!$B$28))^2+(2*(E25-Setup!$B$20)*Setup!$B$16)^2-(((C25-Setup!$B$18)^2+(D25-Setup!$B$19)^2+(E25-Setup!$B$20)^2)+Setup!$B$27^2+Setup!$B$28^2+Setup!$B$16^2+2*(C25-Setup!$B$18)*Setup!$B$27+2*(D25-Setup!$B$19)*Setup!$B$28-Setup!$B$17^2)^2)&lt;0),"",DEGREES(2*ATAN((-(2*(E25-Setup!$B$20)*Setup!$B$16)-SQRT(((-Setup!$B$16*(SQRT(3)*((C25-Setup!$B$18)+Setup!$B$27)+(D25-Setup!$B$19)+Setup!$B$28))^2+(2*(E25-Setup!$B$20)*Setup!$B$16)^2-(((C25-Setup!$B$18)^2+(D25-Setup!$B$19)^2+(E25-Setup!$B$20)^2)+Setup!$B$27^2+Setup!$B$28^2+Setup!$B$16^2+2*(C25-Setup!$B$18)*Setup!$B$27+2*(D25-Setup!$B$19)*Setup!$B$28-Setup!$B$17^2)^2)))/((((C25-Setup!$B$18)^2+(D25-Setup!$B$19)^2+(E25-Setup!$B$20)^2)+Setup!$B$27^2+Setup!$B$28^2+Setup!$B$16^2+2*(C25-Setup!$B$18)*Setup!$B$27+2*(D25-Setup!$B$19)*Setup!$B$28-Setup!$B$17^2)-(-Setup!$B$16*(SQRT(3)*((C25-Setup!$B$18)+Setup!$B$27)+(D25-Setup!$B$19)+Setup!$B$28))))))</f>
        <v>-9.41859356991373</v>
      </c>
      <c r="G25" s="16" t="n">
        <f aca="false">IF(OR(E25="",((Setup!$B$16*(SQRT(3)*((C25-Setup!$B$18)-Setup!$B$27)-(D25-Setup!$B$19)-Setup!$B$28))^2+(2*(E25-Setup!$B$20)*Setup!$B$16)^2-(((C25-Setup!$B$18)^2+(D25-Setup!$B$19)^2+(E25-Setup!$B$20)^2)+Setup!$B$27^2+Setup!$B$28^2+Setup!$B$16^2-2*(C25-Setup!$B$18)*Setup!$B$27+2*(D25-Setup!$B$19)*Setup!$B$28-Setup!$B$17^2)^2)&lt;0),"",DEGREES(2*ATAN((-(2*(E25-Setup!$B$20)*Setup!$B$16)-SQRT(((Setup!$B$16*(SQRT(3)*((C25-Setup!$B$18)-Setup!$B$27)-(D25-Setup!$B$19)-Setup!$B$28))^2+(2*(E25-Setup!$B$20)*Setup!$B$16)^2-(((C25-Setup!$B$18)^2+(D25-Setup!$B$19)^2+(E25-Setup!$B$20)^2)+Setup!$B$27^2+Setup!$B$28^2+Setup!$B$16^2-2*(C25-Setup!$B$18)*Setup!$B$27+2*(D25-Setup!$B$19)*Setup!$B$28-Setup!$B$17^2)^2)))/((((C25-Setup!$B$18)^2+(D25-Setup!$B$19)^2+(E25-Setup!$B$20)^2)+Setup!$B$27^2+Setup!$B$28^2+Setup!$B$16^2-2*(C25-Setup!$B$18)*Setup!$B$27+2*(D25-Setup!$B$19)*Setup!$B$28-Setup!$B$17^2)-(Setup!$B$16*(SQRT(3)*((C25-Setup!$B$18)-Setup!$B$27)-(D25-Setup!$B$19)-Setup!$B$28))))))</f>
        <v>-9.41859356991373</v>
      </c>
      <c r="H25" s="16" t="n">
        <f aca="false">IF(OR(E25="",((2*Setup!$B$16*((D25-Setup!$B$19)+Setup!$B$26))^2+(2*(E25-Setup!$B$20)*Setup!$B$16)^2-(((C25-Setup!$B$18)^2+(D25-Setup!$B$19)^2+(E25-Setup!$B$20)^2)+Setup!$B$26^2+Setup!$B$16^2+2*(D25-Setup!$B$19)*Setup!$B$26-Setup!$B$17^2)^2)&lt;0),"",DEGREES(2*ATAN((-(2*(E25-Setup!$B$20)*Setup!$B$16)-SQRT(((2*Setup!$B$16*((D25-Setup!$B$19)+Setup!$B$26))^2+(2*(E25-Setup!$B$20)*Setup!$B$16)^2-(((C25-Setup!$B$18)^2+(D25-Setup!$B$19)^2+(E25-Setup!$B$20)^2)+Setup!$B$26^2+Setup!$B$16^2+2*(D25-Setup!$B$19)*Setup!$B$26-Setup!$B$17^2)^2)))/((((C25-Setup!$B$18)^2+(D25-Setup!$B$19)^2+(E25-Setup!$B$20)^2)+Setup!$B$26^2+Setup!$B$16^2+2*(D25-Setup!$B$19)*Setup!$B$26-Setup!$B$17^2)-(2*Setup!$B$16*((D25-Setup!$B$19)+Setup!$B$26))))))</f>
        <v>-9.41859356991373</v>
      </c>
      <c r="I25" s="17"/>
      <c r="J25" s="17"/>
      <c r="K25" s="17"/>
      <c r="L25" s="17"/>
      <c r="M25" s="17"/>
      <c r="N25" s="17"/>
      <c r="O25" s="18" t="str">
        <f aca="false">IF(OR(L25="",F25=""),"",L25-F25)</f>
        <v/>
      </c>
      <c r="P25" s="18" t="str">
        <f aca="false">IF(OR(M25="",G25=""),"",M25-G25)</f>
        <v/>
      </c>
      <c r="Q25" s="18" t="str">
        <f aca="false">IF(OR(N25="",H25=""),"",N25-H25)</f>
        <v/>
      </c>
      <c r="R25" s="11"/>
    </row>
    <row r="26" customFormat="false" ht="15" hidden="false" customHeight="false" outlineLevel="0" collapsed="false">
      <c r="A26" s="15" t="s">
        <v>99</v>
      </c>
      <c r="B26" s="15" t="n">
        <v>4</v>
      </c>
      <c r="C26" s="15" t="n">
        <v>0</v>
      </c>
      <c r="D26" s="15" t="n">
        <v>0</v>
      </c>
      <c r="E26" s="15" t="n">
        <v>-600</v>
      </c>
      <c r="F26" s="16" t="n">
        <f aca="false">IF(OR(E26="",((-Setup!$B$16*(SQRT(3)*((C26-Setup!$B$18)+Setup!$B$27)+(D26-Setup!$B$19)+Setup!$B$28))^2+(2*(E26-Setup!$B$20)*Setup!$B$16)^2-(((C26-Setup!$B$18)^2+(D26-Setup!$B$19)^2+(E26-Setup!$B$20)^2)+Setup!$B$27^2+Setup!$B$28^2+Setup!$B$16^2+2*(C26-Setup!$B$18)*Setup!$B$27+2*(D26-Setup!$B$19)*Setup!$B$28-Setup!$B$17^2)^2)&lt;0),"",DEGREES(2*ATAN((-(2*(E26-Setup!$B$20)*Setup!$B$16)-SQRT(((-Setup!$B$16*(SQRT(3)*((C26-Setup!$B$18)+Setup!$B$27)+(D26-Setup!$B$19)+Setup!$B$28))^2+(2*(E26-Setup!$B$20)*Setup!$B$16)^2-(((C26-Setup!$B$18)^2+(D26-Setup!$B$19)^2+(E26-Setup!$B$20)^2)+Setup!$B$27^2+Setup!$B$28^2+Setup!$B$16^2+2*(C26-Setup!$B$18)*Setup!$B$27+2*(D26-Setup!$B$19)*Setup!$B$28-Setup!$B$17^2)^2)))/((((C26-Setup!$B$18)^2+(D26-Setup!$B$19)^2+(E26-Setup!$B$20)^2)+Setup!$B$27^2+Setup!$B$28^2+Setup!$B$16^2+2*(C26-Setup!$B$18)*Setup!$B$27+2*(D26-Setup!$B$19)*Setup!$B$28-Setup!$B$17^2)-(-Setup!$B$16*(SQRT(3)*((C26-Setup!$B$18)+Setup!$B$27)+(D26-Setup!$B$19)+Setup!$B$28))))))</f>
        <v>-6.01051384084098</v>
      </c>
      <c r="G26" s="16" t="n">
        <f aca="false">IF(OR(E26="",((Setup!$B$16*(SQRT(3)*((C26-Setup!$B$18)-Setup!$B$27)-(D26-Setup!$B$19)-Setup!$B$28))^2+(2*(E26-Setup!$B$20)*Setup!$B$16)^2-(((C26-Setup!$B$18)^2+(D26-Setup!$B$19)^2+(E26-Setup!$B$20)^2)+Setup!$B$27^2+Setup!$B$28^2+Setup!$B$16^2-2*(C26-Setup!$B$18)*Setup!$B$27+2*(D26-Setup!$B$19)*Setup!$B$28-Setup!$B$17^2)^2)&lt;0),"",DEGREES(2*ATAN((-(2*(E26-Setup!$B$20)*Setup!$B$16)-SQRT(((Setup!$B$16*(SQRT(3)*((C26-Setup!$B$18)-Setup!$B$27)-(D26-Setup!$B$19)-Setup!$B$28))^2+(2*(E26-Setup!$B$20)*Setup!$B$16)^2-(((C26-Setup!$B$18)^2+(D26-Setup!$B$19)^2+(E26-Setup!$B$20)^2)+Setup!$B$27^2+Setup!$B$28^2+Setup!$B$16^2-2*(C26-Setup!$B$18)*Setup!$B$27+2*(D26-Setup!$B$19)*Setup!$B$28-Setup!$B$17^2)^2)))/((((C26-Setup!$B$18)^2+(D26-Setup!$B$19)^2+(E26-Setup!$B$20)^2)+Setup!$B$27^2+Setup!$B$28^2+Setup!$B$16^2-2*(C26-Setup!$B$18)*Setup!$B$27+2*(D26-Setup!$B$19)*Setup!$B$28-Setup!$B$17^2)-(Setup!$B$16*(SQRT(3)*((C26-Setup!$B$18)-Setup!$B$27)-(D26-Setup!$B$19)-Setup!$B$28))))))</f>
        <v>-6.01051384084098</v>
      </c>
      <c r="H26" s="16" t="n">
        <f aca="false">IF(OR(E26="",((2*Setup!$B$16*((D26-Setup!$B$19)+Setup!$B$26))^2+(2*(E26-Setup!$B$20)*Setup!$B$16)^2-(((C26-Setup!$B$18)^2+(D26-Setup!$B$19)^2+(E26-Setup!$B$20)^2)+Setup!$B$26^2+Setup!$B$16^2+2*(D26-Setup!$B$19)*Setup!$B$26-Setup!$B$17^2)^2)&lt;0),"",DEGREES(2*ATAN((-(2*(E26-Setup!$B$20)*Setup!$B$16)-SQRT(((2*Setup!$B$16*((D26-Setup!$B$19)+Setup!$B$26))^2+(2*(E26-Setup!$B$20)*Setup!$B$16)^2-(((C26-Setup!$B$18)^2+(D26-Setup!$B$19)^2+(E26-Setup!$B$20)^2)+Setup!$B$26^2+Setup!$B$16^2+2*(D26-Setup!$B$19)*Setup!$B$26-Setup!$B$17^2)^2)))/((((C26-Setup!$B$18)^2+(D26-Setup!$B$19)^2+(E26-Setup!$B$20)^2)+Setup!$B$26^2+Setup!$B$16^2+2*(D26-Setup!$B$19)*Setup!$B$26-Setup!$B$17^2)-(2*Setup!$B$16*((D26-Setup!$B$19)+Setup!$B$26))))))</f>
        <v>-6.01051384084098</v>
      </c>
      <c r="I26" s="17"/>
      <c r="J26" s="17"/>
      <c r="K26" s="17"/>
      <c r="L26" s="17"/>
      <c r="M26" s="17"/>
      <c r="N26" s="17"/>
      <c r="O26" s="18" t="str">
        <f aca="false">IF(OR(L26="",F26=""),"",L26-F26)</f>
        <v/>
      </c>
      <c r="P26" s="18" t="str">
        <f aca="false">IF(OR(M26="",G26=""),"",M26-G26)</f>
        <v/>
      </c>
      <c r="Q26" s="18" t="str">
        <f aca="false">IF(OR(N26="",H26=""),"",N26-H26)</f>
        <v/>
      </c>
      <c r="R26" s="11"/>
    </row>
    <row r="27" customFormat="false" ht="15" hidden="false" customHeight="false" outlineLevel="0" collapsed="false">
      <c r="A27" s="15" t="s">
        <v>99</v>
      </c>
      <c r="B27" s="15" t="n">
        <v>5</v>
      </c>
      <c r="C27" s="15" t="n">
        <v>0</v>
      </c>
      <c r="D27" s="15" t="n">
        <v>0</v>
      </c>
      <c r="E27" s="15" t="n">
        <v>-610</v>
      </c>
      <c r="F27" s="16" t="n">
        <f aca="false">IF(OR(E27="",((-Setup!$B$16*(SQRT(3)*((C27-Setup!$B$18)+Setup!$B$27)+(D27-Setup!$B$19)+Setup!$B$28))^2+(2*(E27-Setup!$B$20)*Setup!$B$16)^2-(((C27-Setup!$B$18)^2+(D27-Setup!$B$19)^2+(E27-Setup!$B$20)^2)+Setup!$B$27^2+Setup!$B$28^2+Setup!$B$16^2+2*(C27-Setup!$B$18)*Setup!$B$27+2*(D27-Setup!$B$19)*Setup!$B$28-Setup!$B$17^2)^2)&lt;0),"",DEGREES(2*ATAN((-(2*(E27-Setup!$B$20)*Setup!$B$16)-SQRT(((-Setup!$B$16*(SQRT(3)*((C27-Setup!$B$18)+Setup!$B$27)+(D27-Setup!$B$19)+Setup!$B$28))^2+(2*(E27-Setup!$B$20)*Setup!$B$16)^2-(((C27-Setup!$B$18)^2+(D27-Setup!$B$19)^2+(E27-Setup!$B$20)^2)+Setup!$B$27^2+Setup!$B$28^2+Setup!$B$16^2+2*(C27-Setup!$B$18)*Setup!$B$27+2*(D27-Setup!$B$19)*Setup!$B$28-Setup!$B$17^2)^2)))/((((C27-Setup!$B$18)^2+(D27-Setup!$B$19)^2+(E27-Setup!$B$20)^2)+Setup!$B$27^2+Setup!$B$28^2+Setup!$B$16^2+2*(C27-Setup!$B$18)*Setup!$B$27+2*(D27-Setup!$B$19)*Setup!$B$28-Setup!$B$17^2)-(-Setup!$B$16*(SQRT(3)*((C27-Setup!$B$18)+Setup!$B$27)+(D27-Setup!$B$19)+Setup!$B$28))))))</f>
        <v>-2.68596208807493</v>
      </c>
      <c r="G27" s="16" t="n">
        <f aca="false">IF(OR(E27="",((Setup!$B$16*(SQRT(3)*((C27-Setup!$B$18)-Setup!$B$27)-(D27-Setup!$B$19)-Setup!$B$28))^2+(2*(E27-Setup!$B$20)*Setup!$B$16)^2-(((C27-Setup!$B$18)^2+(D27-Setup!$B$19)^2+(E27-Setup!$B$20)^2)+Setup!$B$27^2+Setup!$B$28^2+Setup!$B$16^2-2*(C27-Setup!$B$18)*Setup!$B$27+2*(D27-Setup!$B$19)*Setup!$B$28-Setup!$B$17^2)^2)&lt;0),"",DEGREES(2*ATAN((-(2*(E27-Setup!$B$20)*Setup!$B$16)-SQRT(((Setup!$B$16*(SQRT(3)*((C27-Setup!$B$18)-Setup!$B$27)-(D27-Setup!$B$19)-Setup!$B$28))^2+(2*(E27-Setup!$B$20)*Setup!$B$16)^2-(((C27-Setup!$B$18)^2+(D27-Setup!$B$19)^2+(E27-Setup!$B$20)^2)+Setup!$B$27^2+Setup!$B$28^2+Setup!$B$16^2-2*(C27-Setup!$B$18)*Setup!$B$27+2*(D27-Setup!$B$19)*Setup!$B$28-Setup!$B$17^2)^2)))/((((C27-Setup!$B$18)^2+(D27-Setup!$B$19)^2+(E27-Setup!$B$20)^2)+Setup!$B$27^2+Setup!$B$28^2+Setup!$B$16^2-2*(C27-Setup!$B$18)*Setup!$B$27+2*(D27-Setup!$B$19)*Setup!$B$28-Setup!$B$17^2)-(Setup!$B$16*(SQRT(3)*((C27-Setup!$B$18)-Setup!$B$27)-(D27-Setup!$B$19)-Setup!$B$28))))))</f>
        <v>-2.68596208807493</v>
      </c>
      <c r="H27" s="16" t="n">
        <f aca="false">IF(OR(E27="",((2*Setup!$B$16*((D27-Setup!$B$19)+Setup!$B$26))^2+(2*(E27-Setup!$B$20)*Setup!$B$16)^2-(((C27-Setup!$B$18)^2+(D27-Setup!$B$19)^2+(E27-Setup!$B$20)^2)+Setup!$B$26^2+Setup!$B$16^2+2*(D27-Setup!$B$19)*Setup!$B$26-Setup!$B$17^2)^2)&lt;0),"",DEGREES(2*ATAN((-(2*(E27-Setup!$B$20)*Setup!$B$16)-SQRT(((2*Setup!$B$16*((D27-Setup!$B$19)+Setup!$B$26))^2+(2*(E27-Setup!$B$20)*Setup!$B$16)^2-(((C27-Setup!$B$18)^2+(D27-Setup!$B$19)^2+(E27-Setup!$B$20)^2)+Setup!$B$26^2+Setup!$B$16^2+2*(D27-Setup!$B$19)*Setup!$B$26-Setup!$B$17^2)^2)))/((((C27-Setup!$B$18)^2+(D27-Setup!$B$19)^2+(E27-Setup!$B$20)^2)+Setup!$B$26^2+Setup!$B$16^2+2*(D27-Setup!$B$19)*Setup!$B$26-Setup!$B$17^2)-(2*Setup!$B$16*((D27-Setup!$B$19)+Setup!$B$26))))))</f>
        <v>-2.68596208807494</v>
      </c>
      <c r="I27" s="17"/>
      <c r="J27" s="17"/>
      <c r="K27" s="17"/>
      <c r="L27" s="17"/>
      <c r="M27" s="17"/>
      <c r="N27" s="17"/>
      <c r="O27" s="18" t="str">
        <f aca="false">IF(OR(L27="",F27=""),"",L27-F27)</f>
        <v/>
      </c>
      <c r="P27" s="18" t="str">
        <f aca="false">IF(OR(M27="",G27=""),"",M27-G27)</f>
        <v/>
      </c>
      <c r="Q27" s="18" t="str">
        <f aca="false">IF(OR(N27="",H27=""),"",N27-H27)</f>
        <v/>
      </c>
      <c r="R27" s="11"/>
    </row>
    <row r="28" customFormat="false" ht="15" hidden="false" customHeight="false" outlineLevel="0" collapsed="false">
      <c r="A28" s="15" t="s">
        <v>99</v>
      </c>
      <c r="B28" s="15" t="n">
        <v>6</v>
      </c>
      <c r="C28" s="15" t="n">
        <v>0</v>
      </c>
      <c r="D28" s="15" t="n">
        <v>0</v>
      </c>
      <c r="E28" s="15" t="n">
        <v>-620</v>
      </c>
      <c r="F28" s="16" t="n">
        <f aca="false">IF(OR(E28="",((-Setup!$B$16*(SQRT(3)*((C28-Setup!$B$18)+Setup!$B$27)+(D28-Setup!$B$19)+Setup!$B$28))^2+(2*(E28-Setup!$B$20)*Setup!$B$16)^2-(((C28-Setup!$B$18)^2+(D28-Setup!$B$19)^2+(E28-Setup!$B$20)^2)+Setup!$B$27^2+Setup!$B$28^2+Setup!$B$16^2+2*(C28-Setup!$B$18)*Setup!$B$27+2*(D28-Setup!$B$19)*Setup!$B$28-Setup!$B$17^2)^2)&lt;0),"",DEGREES(2*ATAN((-(2*(E28-Setup!$B$20)*Setup!$B$16)-SQRT(((-Setup!$B$16*(SQRT(3)*((C28-Setup!$B$18)+Setup!$B$27)+(D28-Setup!$B$19)+Setup!$B$28))^2+(2*(E28-Setup!$B$20)*Setup!$B$16)^2-(((C28-Setup!$B$18)^2+(D28-Setup!$B$19)^2+(E28-Setup!$B$20)^2)+Setup!$B$27^2+Setup!$B$28^2+Setup!$B$16^2+2*(C28-Setup!$B$18)*Setup!$B$27+2*(D28-Setup!$B$19)*Setup!$B$28-Setup!$B$17^2)^2)))/((((C28-Setup!$B$18)^2+(D28-Setup!$B$19)^2+(E28-Setup!$B$20)^2)+Setup!$B$27^2+Setup!$B$28^2+Setup!$B$16^2+2*(C28-Setup!$B$18)*Setup!$B$27+2*(D28-Setup!$B$19)*Setup!$B$28-Setup!$B$17^2)-(-Setup!$B$16*(SQRT(3)*((C28-Setup!$B$18)+Setup!$B$27)+(D28-Setup!$B$19)+Setup!$B$28))))))</f>
        <v>0.570608769765978</v>
      </c>
      <c r="G28" s="16" t="n">
        <f aca="false">IF(OR(E28="",((Setup!$B$16*(SQRT(3)*((C28-Setup!$B$18)-Setup!$B$27)-(D28-Setup!$B$19)-Setup!$B$28))^2+(2*(E28-Setup!$B$20)*Setup!$B$16)^2-(((C28-Setup!$B$18)^2+(D28-Setup!$B$19)^2+(E28-Setup!$B$20)^2)+Setup!$B$27^2+Setup!$B$28^2+Setup!$B$16^2-2*(C28-Setup!$B$18)*Setup!$B$27+2*(D28-Setup!$B$19)*Setup!$B$28-Setup!$B$17^2)^2)&lt;0),"",DEGREES(2*ATAN((-(2*(E28-Setup!$B$20)*Setup!$B$16)-SQRT(((Setup!$B$16*(SQRT(3)*((C28-Setup!$B$18)-Setup!$B$27)-(D28-Setup!$B$19)-Setup!$B$28))^2+(2*(E28-Setup!$B$20)*Setup!$B$16)^2-(((C28-Setup!$B$18)^2+(D28-Setup!$B$19)^2+(E28-Setup!$B$20)^2)+Setup!$B$27^2+Setup!$B$28^2+Setup!$B$16^2-2*(C28-Setup!$B$18)*Setup!$B$27+2*(D28-Setup!$B$19)*Setup!$B$28-Setup!$B$17^2)^2)))/((((C28-Setup!$B$18)^2+(D28-Setup!$B$19)^2+(E28-Setup!$B$20)^2)+Setup!$B$27^2+Setup!$B$28^2+Setup!$B$16^2-2*(C28-Setup!$B$18)*Setup!$B$27+2*(D28-Setup!$B$19)*Setup!$B$28-Setup!$B$17^2)-(Setup!$B$16*(SQRT(3)*((C28-Setup!$B$18)-Setup!$B$27)-(D28-Setup!$B$19)-Setup!$B$28))))))</f>
        <v>0.570608769765978</v>
      </c>
      <c r="H28" s="16" t="n">
        <f aca="false">IF(OR(E28="",((2*Setup!$B$16*((D28-Setup!$B$19)+Setup!$B$26))^2+(2*(E28-Setup!$B$20)*Setup!$B$16)^2-(((C28-Setup!$B$18)^2+(D28-Setup!$B$19)^2+(E28-Setup!$B$20)^2)+Setup!$B$26^2+Setup!$B$16^2+2*(D28-Setup!$B$19)*Setup!$B$26-Setup!$B$17^2)^2)&lt;0),"",DEGREES(2*ATAN((-(2*(E28-Setup!$B$20)*Setup!$B$16)-SQRT(((2*Setup!$B$16*((D28-Setup!$B$19)+Setup!$B$26))^2+(2*(E28-Setup!$B$20)*Setup!$B$16)^2-(((C28-Setup!$B$18)^2+(D28-Setup!$B$19)^2+(E28-Setup!$B$20)^2)+Setup!$B$26^2+Setup!$B$16^2+2*(D28-Setup!$B$19)*Setup!$B$26-Setup!$B$17^2)^2)))/((((C28-Setup!$B$18)^2+(D28-Setup!$B$19)^2+(E28-Setup!$B$20)^2)+Setup!$B$26^2+Setup!$B$16^2+2*(D28-Setup!$B$19)*Setup!$B$26-Setup!$B$17^2)-(2*Setup!$B$16*((D28-Setup!$B$19)+Setup!$B$26))))))</f>
        <v>0.570608769765979</v>
      </c>
      <c r="I28" s="17"/>
      <c r="J28" s="17"/>
      <c r="K28" s="17"/>
      <c r="L28" s="17"/>
      <c r="M28" s="17"/>
      <c r="N28" s="17"/>
      <c r="O28" s="18" t="str">
        <f aca="false">IF(OR(L28="",F28=""),"",L28-F28)</f>
        <v/>
      </c>
      <c r="P28" s="18" t="str">
        <f aca="false">IF(OR(M28="",G28=""),"",M28-G28)</f>
        <v/>
      </c>
      <c r="Q28" s="18" t="str">
        <f aca="false">IF(OR(N28="",H28=""),"",N28-H28)</f>
        <v/>
      </c>
      <c r="R28" s="11"/>
    </row>
    <row r="29" customFormat="false" ht="15" hidden="false" customHeight="false" outlineLevel="0" collapsed="false">
      <c r="A29" s="15" t="s">
        <v>99</v>
      </c>
      <c r="B29" s="15" t="n">
        <v>7</v>
      </c>
      <c r="C29" s="15" t="n">
        <v>0</v>
      </c>
      <c r="D29" s="15" t="n">
        <v>0</v>
      </c>
      <c r="E29" s="15" t="n">
        <v>-630</v>
      </c>
      <c r="F29" s="16" t="n">
        <f aca="false">IF(OR(E29="",((-Setup!$B$16*(SQRT(3)*((C29-Setup!$B$18)+Setup!$B$27)+(D29-Setup!$B$19)+Setup!$B$28))^2+(2*(E29-Setup!$B$20)*Setup!$B$16)^2-(((C29-Setup!$B$18)^2+(D29-Setup!$B$19)^2+(E29-Setup!$B$20)^2)+Setup!$B$27^2+Setup!$B$28^2+Setup!$B$16^2+2*(C29-Setup!$B$18)*Setup!$B$27+2*(D29-Setup!$B$19)*Setup!$B$28-Setup!$B$17^2)^2)&lt;0),"",DEGREES(2*ATAN((-(2*(E29-Setup!$B$20)*Setup!$B$16)-SQRT(((-Setup!$B$16*(SQRT(3)*((C29-Setup!$B$18)+Setup!$B$27)+(D29-Setup!$B$19)+Setup!$B$28))^2+(2*(E29-Setup!$B$20)*Setup!$B$16)^2-(((C29-Setup!$B$18)^2+(D29-Setup!$B$19)^2+(E29-Setup!$B$20)^2)+Setup!$B$27^2+Setup!$B$28^2+Setup!$B$16^2+2*(C29-Setup!$B$18)*Setup!$B$27+2*(D29-Setup!$B$19)*Setup!$B$28-Setup!$B$17^2)^2)))/((((C29-Setup!$B$18)^2+(D29-Setup!$B$19)^2+(E29-Setup!$B$20)^2)+Setup!$B$27^2+Setup!$B$28^2+Setup!$B$16^2+2*(C29-Setup!$B$18)*Setup!$B$27+2*(D29-Setup!$B$19)*Setup!$B$28-Setup!$B$17^2)-(-Setup!$B$16*(SQRT(3)*((C29-Setup!$B$18)+Setup!$B$27)+(D29-Setup!$B$19)+Setup!$B$28))))))</f>
        <v>3.77299112998899</v>
      </c>
      <c r="G29" s="16" t="n">
        <f aca="false">IF(OR(E29="",((Setup!$B$16*(SQRT(3)*((C29-Setup!$B$18)-Setup!$B$27)-(D29-Setup!$B$19)-Setup!$B$28))^2+(2*(E29-Setup!$B$20)*Setup!$B$16)^2-(((C29-Setup!$B$18)^2+(D29-Setup!$B$19)^2+(E29-Setup!$B$20)^2)+Setup!$B$27^2+Setup!$B$28^2+Setup!$B$16^2-2*(C29-Setup!$B$18)*Setup!$B$27+2*(D29-Setup!$B$19)*Setup!$B$28-Setup!$B$17^2)^2)&lt;0),"",DEGREES(2*ATAN((-(2*(E29-Setup!$B$20)*Setup!$B$16)-SQRT(((Setup!$B$16*(SQRT(3)*((C29-Setup!$B$18)-Setup!$B$27)-(D29-Setup!$B$19)-Setup!$B$28))^2+(2*(E29-Setup!$B$20)*Setup!$B$16)^2-(((C29-Setup!$B$18)^2+(D29-Setup!$B$19)^2+(E29-Setup!$B$20)^2)+Setup!$B$27^2+Setup!$B$28^2+Setup!$B$16^2-2*(C29-Setup!$B$18)*Setup!$B$27+2*(D29-Setup!$B$19)*Setup!$B$28-Setup!$B$17^2)^2)))/((((C29-Setup!$B$18)^2+(D29-Setup!$B$19)^2+(E29-Setup!$B$20)^2)+Setup!$B$27^2+Setup!$B$28^2+Setup!$B$16^2-2*(C29-Setup!$B$18)*Setup!$B$27+2*(D29-Setup!$B$19)*Setup!$B$28-Setup!$B$17^2)-(Setup!$B$16*(SQRT(3)*((C29-Setup!$B$18)-Setup!$B$27)-(D29-Setup!$B$19)-Setup!$B$28))))))</f>
        <v>3.77299112998899</v>
      </c>
      <c r="H29" s="16" t="n">
        <f aca="false">IF(OR(E29="",((2*Setup!$B$16*((D29-Setup!$B$19)+Setup!$B$26))^2+(2*(E29-Setup!$B$20)*Setup!$B$16)^2-(((C29-Setup!$B$18)^2+(D29-Setup!$B$19)^2+(E29-Setup!$B$20)^2)+Setup!$B$26^2+Setup!$B$16^2+2*(D29-Setup!$B$19)*Setup!$B$26-Setup!$B$17^2)^2)&lt;0),"",DEGREES(2*ATAN((-(2*(E29-Setup!$B$20)*Setup!$B$16)-SQRT(((2*Setup!$B$16*((D29-Setup!$B$19)+Setup!$B$26))^2+(2*(E29-Setup!$B$20)*Setup!$B$16)^2-(((C29-Setup!$B$18)^2+(D29-Setup!$B$19)^2+(E29-Setup!$B$20)^2)+Setup!$B$26^2+Setup!$B$16^2+2*(D29-Setup!$B$19)*Setup!$B$26-Setup!$B$17^2)^2)))/((((C29-Setup!$B$18)^2+(D29-Setup!$B$19)^2+(E29-Setup!$B$20)^2)+Setup!$B$26^2+Setup!$B$16^2+2*(D29-Setup!$B$19)*Setup!$B$26-Setup!$B$17^2)-(2*Setup!$B$16*((D29-Setup!$B$19)+Setup!$B$26))))))</f>
        <v>3.77299112998899</v>
      </c>
      <c r="I29" s="17"/>
      <c r="J29" s="17"/>
      <c r="K29" s="17"/>
      <c r="L29" s="17"/>
      <c r="M29" s="17"/>
      <c r="N29" s="17"/>
      <c r="O29" s="18" t="str">
        <f aca="false">IF(OR(L29="",F29=""),"",L29-F29)</f>
        <v/>
      </c>
      <c r="P29" s="18" t="str">
        <f aca="false">IF(OR(M29="",G29=""),"",M29-G29)</f>
        <v/>
      </c>
      <c r="Q29" s="18" t="str">
        <f aca="false">IF(OR(N29="",H29=""),"",N29-H29)</f>
        <v/>
      </c>
      <c r="R29" s="11"/>
    </row>
    <row r="30" customFormat="false" ht="15" hidden="false" customHeight="false" outlineLevel="0" collapsed="false">
      <c r="A30" s="15" t="s">
        <v>99</v>
      </c>
      <c r="B30" s="15" t="n">
        <v>8</v>
      </c>
      <c r="C30" s="15" t="n">
        <v>0</v>
      </c>
      <c r="D30" s="15" t="n">
        <v>0</v>
      </c>
      <c r="E30" s="15" t="n">
        <v>-640</v>
      </c>
      <c r="F30" s="16" t="n">
        <f aca="false">IF(OR(E30="",((-Setup!$B$16*(SQRT(3)*((C30-Setup!$B$18)+Setup!$B$27)+(D30-Setup!$B$19)+Setup!$B$28))^2+(2*(E30-Setup!$B$20)*Setup!$B$16)^2-(((C30-Setup!$B$18)^2+(D30-Setup!$B$19)^2+(E30-Setup!$B$20)^2)+Setup!$B$27^2+Setup!$B$28^2+Setup!$B$16^2+2*(C30-Setup!$B$18)*Setup!$B$27+2*(D30-Setup!$B$19)*Setup!$B$28-Setup!$B$17^2)^2)&lt;0),"",DEGREES(2*ATAN((-(2*(E30-Setup!$B$20)*Setup!$B$16)-SQRT(((-Setup!$B$16*(SQRT(3)*((C30-Setup!$B$18)+Setup!$B$27)+(D30-Setup!$B$19)+Setup!$B$28))^2+(2*(E30-Setup!$B$20)*Setup!$B$16)^2-(((C30-Setup!$B$18)^2+(D30-Setup!$B$19)^2+(E30-Setup!$B$20)^2)+Setup!$B$27^2+Setup!$B$28^2+Setup!$B$16^2+2*(C30-Setup!$B$18)*Setup!$B$27+2*(D30-Setup!$B$19)*Setup!$B$28-Setup!$B$17^2)^2)))/((((C30-Setup!$B$18)^2+(D30-Setup!$B$19)^2+(E30-Setup!$B$20)^2)+Setup!$B$27^2+Setup!$B$28^2+Setup!$B$16^2+2*(C30-Setup!$B$18)*Setup!$B$27+2*(D30-Setup!$B$19)*Setup!$B$28-Setup!$B$17^2)-(-Setup!$B$16*(SQRT(3)*((C30-Setup!$B$18)+Setup!$B$27)+(D30-Setup!$B$19)+Setup!$B$28))))))</f>
        <v>6.93373219113419</v>
      </c>
      <c r="G30" s="16" t="n">
        <f aca="false">IF(OR(E30="",((Setup!$B$16*(SQRT(3)*((C30-Setup!$B$18)-Setup!$B$27)-(D30-Setup!$B$19)-Setup!$B$28))^2+(2*(E30-Setup!$B$20)*Setup!$B$16)^2-(((C30-Setup!$B$18)^2+(D30-Setup!$B$19)^2+(E30-Setup!$B$20)^2)+Setup!$B$27^2+Setup!$B$28^2+Setup!$B$16^2-2*(C30-Setup!$B$18)*Setup!$B$27+2*(D30-Setup!$B$19)*Setup!$B$28-Setup!$B$17^2)^2)&lt;0),"",DEGREES(2*ATAN((-(2*(E30-Setup!$B$20)*Setup!$B$16)-SQRT(((Setup!$B$16*(SQRT(3)*((C30-Setup!$B$18)-Setup!$B$27)-(D30-Setup!$B$19)-Setup!$B$28))^2+(2*(E30-Setup!$B$20)*Setup!$B$16)^2-(((C30-Setup!$B$18)^2+(D30-Setup!$B$19)^2+(E30-Setup!$B$20)^2)+Setup!$B$27^2+Setup!$B$28^2+Setup!$B$16^2-2*(C30-Setup!$B$18)*Setup!$B$27+2*(D30-Setup!$B$19)*Setup!$B$28-Setup!$B$17^2)^2)))/((((C30-Setup!$B$18)^2+(D30-Setup!$B$19)^2+(E30-Setup!$B$20)^2)+Setup!$B$27^2+Setup!$B$28^2+Setup!$B$16^2-2*(C30-Setup!$B$18)*Setup!$B$27+2*(D30-Setup!$B$19)*Setup!$B$28-Setup!$B$17^2)-(Setup!$B$16*(SQRT(3)*((C30-Setup!$B$18)-Setup!$B$27)-(D30-Setup!$B$19)-Setup!$B$28))))))</f>
        <v>6.93373219113419</v>
      </c>
      <c r="H30" s="16" t="n">
        <f aca="false">IF(OR(E30="",((2*Setup!$B$16*((D30-Setup!$B$19)+Setup!$B$26))^2+(2*(E30-Setup!$B$20)*Setup!$B$16)^2-(((C30-Setup!$B$18)^2+(D30-Setup!$B$19)^2+(E30-Setup!$B$20)^2)+Setup!$B$26^2+Setup!$B$16^2+2*(D30-Setup!$B$19)*Setup!$B$26-Setup!$B$17^2)^2)&lt;0),"",DEGREES(2*ATAN((-(2*(E30-Setup!$B$20)*Setup!$B$16)-SQRT(((2*Setup!$B$16*((D30-Setup!$B$19)+Setup!$B$26))^2+(2*(E30-Setup!$B$20)*Setup!$B$16)^2-(((C30-Setup!$B$18)^2+(D30-Setup!$B$19)^2+(E30-Setup!$B$20)^2)+Setup!$B$26^2+Setup!$B$16^2+2*(D30-Setup!$B$19)*Setup!$B$26-Setup!$B$17^2)^2)))/((((C30-Setup!$B$18)^2+(D30-Setup!$B$19)^2+(E30-Setup!$B$20)^2)+Setup!$B$26^2+Setup!$B$16^2+2*(D30-Setup!$B$19)*Setup!$B$26-Setup!$B$17^2)-(2*Setup!$B$16*((D30-Setup!$B$19)+Setup!$B$26))))))</f>
        <v>6.93373219113419</v>
      </c>
      <c r="I30" s="17"/>
      <c r="J30" s="17"/>
      <c r="K30" s="17"/>
      <c r="L30" s="17"/>
      <c r="M30" s="17"/>
      <c r="N30" s="17"/>
      <c r="O30" s="18" t="str">
        <f aca="false">IF(OR(L30="",F30=""),"",L30-F30)</f>
        <v/>
      </c>
      <c r="P30" s="18" t="str">
        <f aca="false">IF(OR(M30="",G30=""),"",M30-G30)</f>
        <v/>
      </c>
      <c r="Q30" s="18" t="str">
        <f aca="false">IF(OR(N30="",H30=""),"",N30-H30)</f>
        <v/>
      </c>
      <c r="R30" s="11"/>
    </row>
    <row r="31" customFormat="false" ht="15" hidden="false" customHeight="false" outlineLevel="0" collapsed="false">
      <c r="A31" s="15" t="s">
        <v>99</v>
      </c>
      <c r="B31" s="15" t="n">
        <v>9</v>
      </c>
      <c r="C31" s="15" t="n">
        <v>0</v>
      </c>
      <c r="D31" s="15" t="n">
        <v>0</v>
      </c>
      <c r="E31" s="15" t="n">
        <v>-650</v>
      </c>
      <c r="F31" s="16" t="n">
        <f aca="false">IF(OR(E31="",((-Setup!$B$16*(SQRT(3)*((C31-Setup!$B$18)+Setup!$B$27)+(D31-Setup!$B$19)+Setup!$B$28))^2+(2*(E31-Setup!$B$20)*Setup!$B$16)^2-(((C31-Setup!$B$18)^2+(D31-Setup!$B$19)^2+(E31-Setup!$B$20)^2)+Setup!$B$27^2+Setup!$B$28^2+Setup!$B$16^2+2*(C31-Setup!$B$18)*Setup!$B$27+2*(D31-Setup!$B$19)*Setup!$B$28-Setup!$B$17^2)^2)&lt;0),"",DEGREES(2*ATAN((-(2*(E31-Setup!$B$20)*Setup!$B$16)-SQRT(((-Setup!$B$16*(SQRT(3)*((C31-Setup!$B$18)+Setup!$B$27)+(D31-Setup!$B$19)+Setup!$B$28))^2+(2*(E31-Setup!$B$20)*Setup!$B$16)^2-(((C31-Setup!$B$18)^2+(D31-Setup!$B$19)^2+(E31-Setup!$B$20)^2)+Setup!$B$27^2+Setup!$B$28^2+Setup!$B$16^2+2*(C31-Setup!$B$18)*Setup!$B$27+2*(D31-Setup!$B$19)*Setup!$B$28-Setup!$B$17^2)^2)))/((((C31-Setup!$B$18)^2+(D31-Setup!$B$19)^2+(E31-Setup!$B$20)^2)+Setup!$B$27^2+Setup!$B$28^2+Setup!$B$16^2+2*(C31-Setup!$B$18)*Setup!$B$27+2*(D31-Setup!$B$19)*Setup!$B$28-Setup!$B$17^2)-(-Setup!$B$16*(SQRT(3)*((C31-Setup!$B$18)+Setup!$B$27)+(D31-Setup!$B$19)+Setup!$B$28))))))</f>
        <v>10.0645439782632</v>
      </c>
      <c r="G31" s="16" t="n">
        <f aca="false">IF(OR(E31="",((Setup!$B$16*(SQRT(3)*((C31-Setup!$B$18)-Setup!$B$27)-(D31-Setup!$B$19)-Setup!$B$28))^2+(2*(E31-Setup!$B$20)*Setup!$B$16)^2-(((C31-Setup!$B$18)^2+(D31-Setup!$B$19)^2+(E31-Setup!$B$20)^2)+Setup!$B$27^2+Setup!$B$28^2+Setup!$B$16^2-2*(C31-Setup!$B$18)*Setup!$B$27+2*(D31-Setup!$B$19)*Setup!$B$28-Setup!$B$17^2)^2)&lt;0),"",DEGREES(2*ATAN((-(2*(E31-Setup!$B$20)*Setup!$B$16)-SQRT(((Setup!$B$16*(SQRT(3)*((C31-Setup!$B$18)-Setup!$B$27)-(D31-Setup!$B$19)-Setup!$B$28))^2+(2*(E31-Setup!$B$20)*Setup!$B$16)^2-(((C31-Setup!$B$18)^2+(D31-Setup!$B$19)^2+(E31-Setup!$B$20)^2)+Setup!$B$27^2+Setup!$B$28^2+Setup!$B$16^2-2*(C31-Setup!$B$18)*Setup!$B$27+2*(D31-Setup!$B$19)*Setup!$B$28-Setup!$B$17^2)^2)))/((((C31-Setup!$B$18)^2+(D31-Setup!$B$19)^2+(E31-Setup!$B$20)^2)+Setup!$B$27^2+Setup!$B$28^2+Setup!$B$16^2-2*(C31-Setup!$B$18)*Setup!$B$27+2*(D31-Setup!$B$19)*Setup!$B$28-Setup!$B$17^2)-(Setup!$B$16*(SQRT(3)*((C31-Setup!$B$18)-Setup!$B$27)-(D31-Setup!$B$19)-Setup!$B$28))))))</f>
        <v>10.0645439782632</v>
      </c>
      <c r="H31" s="16" t="n">
        <f aca="false">IF(OR(E31="",((2*Setup!$B$16*((D31-Setup!$B$19)+Setup!$B$26))^2+(2*(E31-Setup!$B$20)*Setup!$B$16)^2-(((C31-Setup!$B$18)^2+(D31-Setup!$B$19)^2+(E31-Setup!$B$20)^2)+Setup!$B$26^2+Setup!$B$16^2+2*(D31-Setup!$B$19)*Setup!$B$26-Setup!$B$17^2)^2)&lt;0),"",DEGREES(2*ATAN((-(2*(E31-Setup!$B$20)*Setup!$B$16)-SQRT(((2*Setup!$B$16*((D31-Setup!$B$19)+Setup!$B$26))^2+(2*(E31-Setup!$B$20)*Setup!$B$16)^2-(((C31-Setup!$B$18)^2+(D31-Setup!$B$19)^2+(E31-Setup!$B$20)^2)+Setup!$B$26^2+Setup!$B$16^2+2*(D31-Setup!$B$19)*Setup!$B$26-Setup!$B$17^2)^2)))/((((C31-Setup!$B$18)^2+(D31-Setup!$B$19)^2+(E31-Setup!$B$20)^2)+Setup!$B$26^2+Setup!$B$16^2+2*(D31-Setup!$B$19)*Setup!$B$26-Setup!$B$17^2)-(2*Setup!$B$16*((D31-Setup!$B$19)+Setup!$B$26))))))</f>
        <v>10.0645439782632</v>
      </c>
      <c r="I31" s="17"/>
      <c r="J31" s="17"/>
      <c r="K31" s="17"/>
      <c r="L31" s="17"/>
      <c r="M31" s="17"/>
      <c r="N31" s="17"/>
      <c r="O31" s="18" t="str">
        <f aca="false">IF(OR(L31="",F31=""),"",L31-F31)</f>
        <v/>
      </c>
      <c r="P31" s="18" t="str">
        <f aca="false">IF(OR(M31="",G31=""),"",M31-G31)</f>
        <v/>
      </c>
      <c r="Q31" s="18" t="str">
        <f aca="false">IF(OR(N31="",H31=""),"",N31-H31)</f>
        <v/>
      </c>
      <c r="R31" s="11"/>
    </row>
    <row r="32" customFormat="false" ht="15" hidden="false" customHeight="false" outlineLevel="0" collapsed="false">
      <c r="A32" s="15" t="s">
        <v>99</v>
      </c>
      <c r="B32" s="15" t="n">
        <v>10</v>
      </c>
      <c r="C32" s="15" t="n">
        <v>0</v>
      </c>
      <c r="D32" s="15" t="n">
        <v>0</v>
      </c>
      <c r="E32" s="15" t="n">
        <v>-660</v>
      </c>
      <c r="F32" s="16" t="n">
        <f aca="false">IF(OR(E32="",((-Setup!$B$16*(SQRT(3)*((C32-Setup!$B$18)+Setup!$B$27)+(D32-Setup!$B$19)+Setup!$B$28))^2+(2*(E32-Setup!$B$20)*Setup!$B$16)^2-(((C32-Setup!$B$18)^2+(D32-Setup!$B$19)^2+(E32-Setup!$B$20)^2)+Setup!$B$27^2+Setup!$B$28^2+Setup!$B$16^2+2*(C32-Setup!$B$18)*Setup!$B$27+2*(D32-Setup!$B$19)*Setup!$B$28-Setup!$B$17^2)^2)&lt;0),"",DEGREES(2*ATAN((-(2*(E32-Setup!$B$20)*Setup!$B$16)-SQRT(((-Setup!$B$16*(SQRT(3)*((C32-Setup!$B$18)+Setup!$B$27)+(D32-Setup!$B$19)+Setup!$B$28))^2+(2*(E32-Setup!$B$20)*Setup!$B$16)^2-(((C32-Setup!$B$18)^2+(D32-Setup!$B$19)^2+(E32-Setup!$B$20)^2)+Setup!$B$27^2+Setup!$B$28^2+Setup!$B$16^2+2*(C32-Setup!$B$18)*Setup!$B$27+2*(D32-Setup!$B$19)*Setup!$B$28-Setup!$B$17^2)^2)))/((((C32-Setup!$B$18)^2+(D32-Setup!$B$19)^2+(E32-Setup!$B$20)^2)+Setup!$B$27^2+Setup!$B$28^2+Setup!$B$16^2+2*(C32-Setup!$B$18)*Setup!$B$27+2*(D32-Setup!$B$19)*Setup!$B$28-Setup!$B$17^2)-(-Setup!$B$16*(SQRT(3)*((C32-Setup!$B$18)+Setup!$B$27)+(D32-Setup!$B$19)+Setup!$B$28))))))</f>
        <v>13.176653702661</v>
      </c>
      <c r="G32" s="16" t="n">
        <f aca="false">IF(OR(E32="",((Setup!$B$16*(SQRT(3)*((C32-Setup!$B$18)-Setup!$B$27)-(D32-Setup!$B$19)-Setup!$B$28))^2+(2*(E32-Setup!$B$20)*Setup!$B$16)^2-(((C32-Setup!$B$18)^2+(D32-Setup!$B$19)^2+(E32-Setup!$B$20)^2)+Setup!$B$27^2+Setup!$B$28^2+Setup!$B$16^2-2*(C32-Setup!$B$18)*Setup!$B$27+2*(D32-Setup!$B$19)*Setup!$B$28-Setup!$B$17^2)^2)&lt;0),"",DEGREES(2*ATAN((-(2*(E32-Setup!$B$20)*Setup!$B$16)-SQRT(((Setup!$B$16*(SQRT(3)*((C32-Setup!$B$18)-Setup!$B$27)-(D32-Setup!$B$19)-Setup!$B$28))^2+(2*(E32-Setup!$B$20)*Setup!$B$16)^2-(((C32-Setup!$B$18)^2+(D32-Setup!$B$19)^2+(E32-Setup!$B$20)^2)+Setup!$B$27^2+Setup!$B$28^2+Setup!$B$16^2-2*(C32-Setup!$B$18)*Setup!$B$27+2*(D32-Setup!$B$19)*Setup!$B$28-Setup!$B$17^2)^2)))/((((C32-Setup!$B$18)^2+(D32-Setup!$B$19)^2+(E32-Setup!$B$20)^2)+Setup!$B$27^2+Setup!$B$28^2+Setup!$B$16^2-2*(C32-Setup!$B$18)*Setup!$B$27+2*(D32-Setup!$B$19)*Setup!$B$28-Setup!$B$17^2)-(Setup!$B$16*(SQRT(3)*((C32-Setup!$B$18)-Setup!$B$27)-(D32-Setup!$B$19)-Setup!$B$28))))))</f>
        <v>13.176653702661</v>
      </c>
      <c r="H32" s="16" t="n">
        <f aca="false">IF(OR(E32="",((2*Setup!$B$16*((D32-Setup!$B$19)+Setup!$B$26))^2+(2*(E32-Setup!$B$20)*Setup!$B$16)^2-(((C32-Setup!$B$18)^2+(D32-Setup!$B$19)^2+(E32-Setup!$B$20)^2)+Setup!$B$26^2+Setup!$B$16^2+2*(D32-Setup!$B$19)*Setup!$B$26-Setup!$B$17^2)^2)&lt;0),"",DEGREES(2*ATAN((-(2*(E32-Setup!$B$20)*Setup!$B$16)-SQRT(((2*Setup!$B$16*((D32-Setup!$B$19)+Setup!$B$26))^2+(2*(E32-Setup!$B$20)*Setup!$B$16)^2-(((C32-Setup!$B$18)^2+(D32-Setup!$B$19)^2+(E32-Setup!$B$20)^2)+Setup!$B$26^2+Setup!$B$16^2+2*(D32-Setup!$B$19)*Setup!$B$26-Setup!$B$17^2)^2)))/((((C32-Setup!$B$18)^2+(D32-Setup!$B$19)^2+(E32-Setup!$B$20)^2)+Setup!$B$26^2+Setup!$B$16^2+2*(D32-Setup!$B$19)*Setup!$B$26-Setup!$B$17^2)-(2*Setup!$B$16*((D32-Setup!$B$19)+Setup!$B$26))))))</f>
        <v>13.176653702661</v>
      </c>
      <c r="I32" s="17"/>
      <c r="J32" s="17"/>
      <c r="K32" s="17"/>
      <c r="L32" s="17"/>
      <c r="M32" s="17"/>
      <c r="N32" s="17"/>
      <c r="O32" s="18" t="str">
        <f aca="false">IF(OR(L32="",F32=""),"",L32-F32)</f>
        <v/>
      </c>
      <c r="P32" s="18" t="str">
        <f aca="false">IF(OR(M32="",G32=""),"",M32-G32)</f>
        <v/>
      </c>
      <c r="Q32" s="18" t="str">
        <f aca="false">IF(OR(N32="",H32=""),"",N32-H32)</f>
        <v/>
      </c>
      <c r="R32" s="11"/>
    </row>
    <row r="33" customFormat="false" ht="15" hidden="false" customHeight="false" outlineLevel="0" collapsed="false">
      <c r="A33" s="15" t="s">
        <v>99</v>
      </c>
      <c r="B33" s="15" t="n">
        <v>11</v>
      </c>
      <c r="C33" s="15" t="n">
        <v>0</v>
      </c>
      <c r="D33" s="15" t="n">
        <v>0</v>
      </c>
      <c r="E33" s="15" t="n">
        <v>-670</v>
      </c>
      <c r="F33" s="16" t="n">
        <f aca="false">IF(OR(E33="",((-Setup!$B$16*(SQRT(3)*((C33-Setup!$B$18)+Setup!$B$27)+(D33-Setup!$B$19)+Setup!$B$28))^2+(2*(E33-Setup!$B$20)*Setup!$B$16)^2-(((C33-Setup!$B$18)^2+(D33-Setup!$B$19)^2+(E33-Setup!$B$20)^2)+Setup!$B$27^2+Setup!$B$28^2+Setup!$B$16^2+2*(C33-Setup!$B$18)*Setup!$B$27+2*(D33-Setup!$B$19)*Setup!$B$28-Setup!$B$17^2)^2)&lt;0),"",DEGREES(2*ATAN((-(2*(E33-Setup!$B$20)*Setup!$B$16)-SQRT(((-Setup!$B$16*(SQRT(3)*((C33-Setup!$B$18)+Setup!$B$27)+(D33-Setup!$B$19)+Setup!$B$28))^2+(2*(E33-Setup!$B$20)*Setup!$B$16)^2-(((C33-Setup!$B$18)^2+(D33-Setup!$B$19)^2+(E33-Setup!$B$20)^2)+Setup!$B$27^2+Setup!$B$28^2+Setup!$B$16^2+2*(C33-Setup!$B$18)*Setup!$B$27+2*(D33-Setup!$B$19)*Setup!$B$28-Setup!$B$17^2)^2)))/((((C33-Setup!$B$18)^2+(D33-Setup!$B$19)^2+(E33-Setup!$B$20)^2)+Setup!$B$27^2+Setup!$B$28^2+Setup!$B$16^2+2*(C33-Setup!$B$18)*Setup!$B$27+2*(D33-Setup!$B$19)*Setup!$B$28-Setup!$B$17^2)-(-Setup!$B$16*(SQRT(3)*((C33-Setup!$B$18)+Setup!$B$27)+(D33-Setup!$B$19)+Setup!$B$28))))))</f>
        <v>16.2811247386167</v>
      </c>
      <c r="G33" s="16" t="n">
        <f aca="false">IF(OR(E33="",((Setup!$B$16*(SQRT(3)*((C33-Setup!$B$18)-Setup!$B$27)-(D33-Setup!$B$19)-Setup!$B$28))^2+(2*(E33-Setup!$B$20)*Setup!$B$16)^2-(((C33-Setup!$B$18)^2+(D33-Setup!$B$19)^2+(E33-Setup!$B$20)^2)+Setup!$B$27^2+Setup!$B$28^2+Setup!$B$16^2-2*(C33-Setup!$B$18)*Setup!$B$27+2*(D33-Setup!$B$19)*Setup!$B$28-Setup!$B$17^2)^2)&lt;0),"",DEGREES(2*ATAN((-(2*(E33-Setup!$B$20)*Setup!$B$16)-SQRT(((Setup!$B$16*(SQRT(3)*((C33-Setup!$B$18)-Setup!$B$27)-(D33-Setup!$B$19)-Setup!$B$28))^2+(2*(E33-Setup!$B$20)*Setup!$B$16)^2-(((C33-Setup!$B$18)^2+(D33-Setup!$B$19)^2+(E33-Setup!$B$20)^2)+Setup!$B$27^2+Setup!$B$28^2+Setup!$B$16^2-2*(C33-Setup!$B$18)*Setup!$B$27+2*(D33-Setup!$B$19)*Setup!$B$28-Setup!$B$17^2)^2)))/((((C33-Setup!$B$18)^2+(D33-Setup!$B$19)^2+(E33-Setup!$B$20)^2)+Setup!$B$27^2+Setup!$B$28^2+Setup!$B$16^2-2*(C33-Setup!$B$18)*Setup!$B$27+2*(D33-Setup!$B$19)*Setup!$B$28-Setup!$B$17^2)-(Setup!$B$16*(SQRT(3)*((C33-Setup!$B$18)-Setup!$B$27)-(D33-Setup!$B$19)-Setup!$B$28))))))</f>
        <v>16.2811247386167</v>
      </c>
      <c r="H33" s="16" t="n">
        <f aca="false">IF(OR(E33="",((2*Setup!$B$16*((D33-Setup!$B$19)+Setup!$B$26))^2+(2*(E33-Setup!$B$20)*Setup!$B$16)^2-(((C33-Setup!$B$18)^2+(D33-Setup!$B$19)^2+(E33-Setup!$B$20)^2)+Setup!$B$26^2+Setup!$B$16^2+2*(D33-Setup!$B$19)*Setup!$B$26-Setup!$B$17^2)^2)&lt;0),"",DEGREES(2*ATAN((-(2*(E33-Setup!$B$20)*Setup!$B$16)-SQRT(((2*Setup!$B$16*((D33-Setup!$B$19)+Setup!$B$26))^2+(2*(E33-Setup!$B$20)*Setup!$B$16)^2-(((C33-Setup!$B$18)^2+(D33-Setup!$B$19)^2+(E33-Setup!$B$20)^2)+Setup!$B$26^2+Setup!$B$16^2+2*(D33-Setup!$B$19)*Setup!$B$26-Setup!$B$17^2)^2)))/((((C33-Setup!$B$18)^2+(D33-Setup!$B$19)^2+(E33-Setup!$B$20)^2)+Setup!$B$26^2+Setup!$B$16^2+2*(D33-Setup!$B$19)*Setup!$B$26-Setup!$B$17^2)-(2*Setup!$B$16*((D33-Setup!$B$19)+Setup!$B$26))))))</f>
        <v>16.2811247386167</v>
      </c>
      <c r="I33" s="17"/>
      <c r="J33" s="17"/>
      <c r="K33" s="17"/>
      <c r="L33" s="17"/>
      <c r="M33" s="17"/>
      <c r="N33" s="17"/>
      <c r="O33" s="18" t="str">
        <f aca="false">IF(OR(L33="",F33=""),"",L33-F33)</f>
        <v/>
      </c>
      <c r="P33" s="18" t="str">
        <f aca="false">IF(OR(M33="",G33=""),"",M33-G33)</f>
        <v/>
      </c>
      <c r="Q33" s="18" t="str">
        <f aca="false">IF(OR(N33="",H33=""),"",N33-H33)</f>
        <v/>
      </c>
      <c r="R33" s="11"/>
    </row>
    <row r="34" customFormat="false" ht="15" hidden="false" customHeight="false" outlineLevel="0" collapsed="false">
      <c r="A34" s="15" t="s">
        <v>99</v>
      </c>
      <c r="B34" s="15" t="n">
        <v>12</v>
      </c>
      <c r="C34" s="15" t="n">
        <v>0</v>
      </c>
      <c r="D34" s="15" t="n">
        <v>0</v>
      </c>
      <c r="E34" s="15" t="n">
        <v>-680</v>
      </c>
      <c r="F34" s="16" t="n">
        <f aca="false">IF(OR(E34="",((-Setup!$B$16*(SQRT(3)*((C34-Setup!$B$18)+Setup!$B$27)+(D34-Setup!$B$19)+Setup!$B$28))^2+(2*(E34-Setup!$B$20)*Setup!$B$16)^2-(((C34-Setup!$B$18)^2+(D34-Setup!$B$19)^2+(E34-Setup!$B$20)^2)+Setup!$B$27^2+Setup!$B$28^2+Setup!$B$16^2+2*(C34-Setup!$B$18)*Setup!$B$27+2*(D34-Setup!$B$19)*Setup!$B$28-Setup!$B$17^2)^2)&lt;0),"",DEGREES(2*ATAN((-(2*(E34-Setup!$B$20)*Setup!$B$16)-SQRT(((-Setup!$B$16*(SQRT(3)*((C34-Setup!$B$18)+Setup!$B$27)+(D34-Setup!$B$19)+Setup!$B$28))^2+(2*(E34-Setup!$B$20)*Setup!$B$16)^2-(((C34-Setup!$B$18)^2+(D34-Setup!$B$19)^2+(E34-Setup!$B$20)^2)+Setup!$B$27^2+Setup!$B$28^2+Setup!$B$16^2+2*(C34-Setup!$B$18)*Setup!$B$27+2*(D34-Setup!$B$19)*Setup!$B$28-Setup!$B$17^2)^2)))/((((C34-Setup!$B$18)^2+(D34-Setup!$B$19)^2+(E34-Setup!$B$20)^2)+Setup!$B$27^2+Setup!$B$28^2+Setup!$B$16^2+2*(C34-Setup!$B$18)*Setup!$B$27+2*(D34-Setup!$B$19)*Setup!$B$28-Setup!$B$17^2)-(-Setup!$B$16*(SQRT(3)*((C34-Setup!$B$18)+Setup!$B$27)+(D34-Setup!$B$19)+Setup!$B$28))))))</f>
        <v>19.3891743496143</v>
      </c>
      <c r="G34" s="16" t="n">
        <f aca="false">IF(OR(E34="",((Setup!$B$16*(SQRT(3)*((C34-Setup!$B$18)-Setup!$B$27)-(D34-Setup!$B$19)-Setup!$B$28))^2+(2*(E34-Setup!$B$20)*Setup!$B$16)^2-(((C34-Setup!$B$18)^2+(D34-Setup!$B$19)^2+(E34-Setup!$B$20)^2)+Setup!$B$27^2+Setup!$B$28^2+Setup!$B$16^2-2*(C34-Setup!$B$18)*Setup!$B$27+2*(D34-Setup!$B$19)*Setup!$B$28-Setup!$B$17^2)^2)&lt;0),"",DEGREES(2*ATAN((-(2*(E34-Setup!$B$20)*Setup!$B$16)-SQRT(((Setup!$B$16*(SQRT(3)*((C34-Setup!$B$18)-Setup!$B$27)-(D34-Setup!$B$19)-Setup!$B$28))^2+(2*(E34-Setup!$B$20)*Setup!$B$16)^2-(((C34-Setup!$B$18)^2+(D34-Setup!$B$19)^2+(E34-Setup!$B$20)^2)+Setup!$B$27^2+Setup!$B$28^2+Setup!$B$16^2-2*(C34-Setup!$B$18)*Setup!$B$27+2*(D34-Setup!$B$19)*Setup!$B$28-Setup!$B$17^2)^2)))/((((C34-Setup!$B$18)^2+(D34-Setup!$B$19)^2+(E34-Setup!$B$20)^2)+Setup!$B$27^2+Setup!$B$28^2+Setup!$B$16^2-2*(C34-Setup!$B$18)*Setup!$B$27+2*(D34-Setup!$B$19)*Setup!$B$28-Setup!$B$17^2)-(Setup!$B$16*(SQRT(3)*((C34-Setup!$B$18)-Setup!$B$27)-(D34-Setup!$B$19)-Setup!$B$28))))))</f>
        <v>19.3891743496143</v>
      </c>
      <c r="H34" s="16" t="n">
        <f aca="false">IF(OR(E34="",((2*Setup!$B$16*((D34-Setup!$B$19)+Setup!$B$26))^2+(2*(E34-Setup!$B$20)*Setup!$B$16)^2-(((C34-Setup!$B$18)^2+(D34-Setup!$B$19)^2+(E34-Setup!$B$20)^2)+Setup!$B$26^2+Setup!$B$16^2+2*(D34-Setup!$B$19)*Setup!$B$26-Setup!$B$17^2)^2)&lt;0),"",DEGREES(2*ATAN((-(2*(E34-Setup!$B$20)*Setup!$B$16)-SQRT(((2*Setup!$B$16*((D34-Setup!$B$19)+Setup!$B$26))^2+(2*(E34-Setup!$B$20)*Setup!$B$16)^2-(((C34-Setup!$B$18)^2+(D34-Setup!$B$19)^2+(E34-Setup!$B$20)^2)+Setup!$B$26^2+Setup!$B$16^2+2*(D34-Setup!$B$19)*Setup!$B$26-Setup!$B$17^2)^2)))/((((C34-Setup!$B$18)^2+(D34-Setup!$B$19)^2+(E34-Setup!$B$20)^2)+Setup!$B$26^2+Setup!$B$16^2+2*(D34-Setup!$B$19)*Setup!$B$26-Setup!$B$17^2)-(2*Setup!$B$16*((D34-Setup!$B$19)+Setup!$B$26))))))</f>
        <v>19.3891743496143</v>
      </c>
      <c r="I34" s="17"/>
      <c r="J34" s="17"/>
      <c r="K34" s="17"/>
      <c r="L34" s="17"/>
      <c r="M34" s="17"/>
      <c r="N34" s="17"/>
      <c r="O34" s="18" t="str">
        <f aca="false">IF(OR(L34="",F34=""),"",L34-F34)</f>
        <v/>
      </c>
      <c r="P34" s="18" t="str">
        <f aca="false">IF(OR(M34="",G34=""),"",M34-G34)</f>
        <v/>
      </c>
      <c r="Q34" s="18" t="str">
        <f aca="false">IF(OR(N34="",H34=""),"",N34-H34)</f>
        <v/>
      </c>
      <c r="R34" s="11"/>
    </row>
    <row r="35" customFormat="false" ht="15" hidden="false" customHeight="false" outlineLevel="0" collapsed="false">
      <c r="A35" s="15" t="s">
        <v>99</v>
      </c>
      <c r="B35" s="15" t="n">
        <v>13</v>
      </c>
      <c r="C35" s="15" t="n">
        <v>0</v>
      </c>
      <c r="D35" s="15" t="n">
        <v>0</v>
      </c>
      <c r="E35" s="15" t="n">
        <v>-690</v>
      </c>
      <c r="F35" s="16" t="n">
        <f aca="false">IF(OR(E35="",((-Setup!$B$16*(SQRT(3)*((C35-Setup!$B$18)+Setup!$B$27)+(D35-Setup!$B$19)+Setup!$B$28))^2+(2*(E35-Setup!$B$20)*Setup!$B$16)^2-(((C35-Setup!$B$18)^2+(D35-Setup!$B$19)^2+(E35-Setup!$B$20)^2)+Setup!$B$27^2+Setup!$B$28^2+Setup!$B$16^2+2*(C35-Setup!$B$18)*Setup!$B$27+2*(D35-Setup!$B$19)*Setup!$B$28-Setup!$B$17^2)^2)&lt;0),"",DEGREES(2*ATAN((-(2*(E35-Setup!$B$20)*Setup!$B$16)-SQRT(((-Setup!$B$16*(SQRT(3)*((C35-Setup!$B$18)+Setup!$B$27)+(D35-Setup!$B$19)+Setup!$B$28))^2+(2*(E35-Setup!$B$20)*Setup!$B$16)^2-(((C35-Setup!$B$18)^2+(D35-Setup!$B$19)^2+(E35-Setup!$B$20)^2)+Setup!$B$27^2+Setup!$B$28^2+Setup!$B$16^2+2*(C35-Setup!$B$18)*Setup!$B$27+2*(D35-Setup!$B$19)*Setup!$B$28-Setup!$B$17^2)^2)))/((((C35-Setup!$B$18)^2+(D35-Setup!$B$19)^2+(E35-Setup!$B$20)^2)+Setup!$B$27^2+Setup!$B$28^2+Setup!$B$16^2+2*(C35-Setup!$B$18)*Setup!$B$27+2*(D35-Setup!$B$19)*Setup!$B$28-Setup!$B$17^2)-(-Setup!$B$16*(SQRT(3)*((C35-Setup!$B$18)+Setup!$B$27)+(D35-Setup!$B$19)+Setup!$B$28))))))</f>
        <v>22.5125144426886</v>
      </c>
      <c r="G35" s="16" t="n">
        <f aca="false">IF(OR(E35="",((Setup!$B$16*(SQRT(3)*((C35-Setup!$B$18)-Setup!$B$27)-(D35-Setup!$B$19)-Setup!$B$28))^2+(2*(E35-Setup!$B$20)*Setup!$B$16)^2-(((C35-Setup!$B$18)^2+(D35-Setup!$B$19)^2+(E35-Setup!$B$20)^2)+Setup!$B$27^2+Setup!$B$28^2+Setup!$B$16^2-2*(C35-Setup!$B$18)*Setup!$B$27+2*(D35-Setup!$B$19)*Setup!$B$28-Setup!$B$17^2)^2)&lt;0),"",DEGREES(2*ATAN((-(2*(E35-Setup!$B$20)*Setup!$B$16)-SQRT(((Setup!$B$16*(SQRT(3)*((C35-Setup!$B$18)-Setup!$B$27)-(D35-Setup!$B$19)-Setup!$B$28))^2+(2*(E35-Setup!$B$20)*Setup!$B$16)^2-(((C35-Setup!$B$18)^2+(D35-Setup!$B$19)^2+(E35-Setup!$B$20)^2)+Setup!$B$27^2+Setup!$B$28^2+Setup!$B$16^2-2*(C35-Setup!$B$18)*Setup!$B$27+2*(D35-Setup!$B$19)*Setup!$B$28-Setup!$B$17^2)^2)))/((((C35-Setup!$B$18)^2+(D35-Setup!$B$19)^2+(E35-Setup!$B$20)^2)+Setup!$B$27^2+Setup!$B$28^2+Setup!$B$16^2-2*(C35-Setup!$B$18)*Setup!$B$27+2*(D35-Setup!$B$19)*Setup!$B$28-Setup!$B$17^2)-(Setup!$B$16*(SQRT(3)*((C35-Setup!$B$18)-Setup!$B$27)-(D35-Setup!$B$19)-Setup!$B$28))))))</f>
        <v>22.5125144426886</v>
      </c>
      <c r="H35" s="16" t="n">
        <f aca="false">IF(OR(E35="",((2*Setup!$B$16*((D35-Setup!$B$19)+Setup!$B$26))^2+(2*(E35-Setup!$B$20)*Setup!$B$16)^2-(((C35-Setup!$B$18)^2+(D35-Setup!$B$19)^2+(E35-Setup!$B$20)^2)+Setup!$B$26^2+Setup!$B$16^2+2*(D35-Setup!$B$19)*Setup!$B$26-Setup!$B$17^2)^2)&lt;0),"",DEGREES(2*ATAN((-(2*(E35-Setup!$B$20)*Setup!$B$16)-SQRT(((2*Setup!$B$16*((D35-Setup!$B$19)+Setup!$B$26))^2+(2*(E35-Setup!$B$20)*Setup!$B$16)^2-(((C35-Setup!$B$18)^2+(D35-Setup!$B$19)^2+(E35-Setup!$B$20)^2)+Setup!$B$26^2+Setup!$B$16^2+2*(D35-Setup!$B$19)*Setup!$B$26-Setup!$B$17^2)^2)))/((((C35-Setup!$B$18)^2+(D35-Setup!$B$19)^2+(E35-Setup!$B$20)^2)+Setup!$B$26^2+Setup!$B$16^2+2*(D35-Setup!$B$19)*Setup!$B$26-Setup!$B$17^2)-(2*Setup!$B$16*((D35-Setup!$B$19)+Setup!$B$26))))))</f>
        <v>22.5125144426886</v>
      </c>
      <c r="I35" s="17"/>
      <c r="J35" s="17"/>
      <c r="K35" s="17"/>
      <c r="L35" s="17"/>
      <c r="M35" s="17"/>
      <c r="N35" s="17"/>
      <c r="O35" s="18" t="str">
        <f aca="false">IF(OR(L35="",F35=""),"",L35-F35)</f>
        <v/>
      </c>
      <c r="P35" s="18" t="str">
        <f aca="false">IF(OR(M35="",G35=""),"",M35-G35)</f>
        <v/>
      </c>
      <c r="Q35" s="18" t="str">
        <f aca="false">IF(OR(N35="",H35=""),"",N35-H35)</f>
        <v/>
      </c>
      <c r="R35" s="11"/>
    </row>
    <row r="36" customFormat="false" ht="15" hidden="false" customHeight="false" outlineLevel="0" collapsed="false">
      <c r="A36" s="15" t="s">
        <v>99</v>
      </c>
      <c r="B36" s="15" t="n">
        <v>14</v>
      </c>
      <c r="C36" s="15" t="n">
        <v>0</v>
      </c>
      <c r="D36" s="15" t="n">
        <v>0</v>
      </c>
      <c r="E36" s="15" t="n">
        <v>-700</v>
      </c>
      <c r="F36" s="16" t="n">
        <f aca="false">IF(OR(E36="",((-Setup!$B$16*(SQRT(3)*((C36-Setup!$B$18)+Setup!$B$27)+(D36-Setup!$B$19)+Setup!$B$28))^2+(2*(E36-Setup!$B$20)*Setup!$B$16)^2-(((C36-Setup!$B$18)^2+(D36-Setup!$B$19)^2+(E36-Setup!$B$20)^2)+Setup!$B$27^2+Setup!$B$28^2+Setup!$B$16^2+2*(C36-Setup!$B$18)*Setup!$B$27+2*(D36-Setup!$B$19)*Setup!$B$28-Setup!$B$17^2)^2)&lt;0),"",DEGREES(2*ATAN((-(2*(E36-Setup!$B$20)*Setup!$B$16)-SQRT(((-Setup!$B$16*(SQRT(3)*((C36-Setup!$B$18)+Setup!$B$27)+(D36-Setup!$B$19)+Setup!$B$28))^2+(2*(E36-Setup!$B$20)*Setup!$B$16)^2-(((C36-Setup!$B$18)^2+(D36-Setup!$B$19)^2+(E36-Setup!$B$20)^2)+Setup!$B$27^2+Setup!$B$28^2+Setup!$B$16^2+2*(C36-Setup!$B$18)*Setup!$B$27+2*(D36-Setup!$B$19)*Setup!$B$28-Setup!$B$17^2)^2)))/((((C36-Setup!$B$18)^2+(D36-Setup!$B$19)^2+(E36-Setup!$B$20)^2)+Setup!$B$27^2+Setup!$B$28^2+Setup!$B$16^2+2*(C36-Setup!$B$18)*Setup!$B$27+2*(D36-Setup!$B$19)*Setup!$B$28-Setup!$B$17^2)-(-Setup!$B$16*(SQRT(3)*((C36-Setup!$B$18)+Setup!$B$27)+(D36-Setup!$B$19)+Setup!$B$28))))))</f>
        <v>25.6637462156458</v>
      </c>
      <c r="G36" s="16" t="n">
        <f aca="false">IF(OR(E36="",((Setup!$B$16*(SQRT(3)*((C36-Setup!$B$18)-Setup!$B$27)-(D36-Setup!$B$19)-Setup!$B$28))^2+(2*(E36-Setup!$B$20)*Setup!$B$16)^2-(((C36-Setup!$B$18)^2+(D36-Setup!$B$19)^2+(E36-Setup!$B$20)^2)+Setup!$B$27^2+Setup!$B$28^2+Setup!$B$16^2-2*(C36-Setup!$B$18)*Setup!$B$27+2*(D36-Setup!$B$19)*Setup!$B$28-Setup!$B$17^2)^2)&lt;0),"",DEGREES(2*ATAN((-(2*(E36-Setup!$B$20)*Setup!$B$16)-SQRT(((Setup!$B$16*(SQRT(3)*((C36-Setup!$B$18)-Setup!$B$27)-(D36-Setup!$B$19)-Setup!$B$28))^2+(2*(E36-Setup!$B$20)*Setup!$B$16)^2-(((C36-Setup!$B$18)^2+(D36-Setup!$B$19)^2+(E36-Setup!$B$20)^2)+Setup!$B$27^2+Setup!$B$28^2+Setup!$B$16^2-2*(C36-Setup!$B$18)*Setup!$B$27+2*(D36-Setup!$B$19)*Setup!$B$28-Setup!$B$17^2)^2)))/((((C36-Setup!$B$18)^2+(D36-Setup!$B$19)^2+(E36-Setup!$B$20)^2)+Setup!$B$27^2+Setup!$B$28^2+Setup!$B$16^2-2*(C36-Setup!$B$18)*Setup!$B$27+2*(D36-Setup!$B$19)*Setup!$B$28-Setup!$B$17^2)-(Setup!$B$16*(SQRT(3)*((C36-Setup!$B$18)-Setup!$B$27)-(D36-Setup!$B$19)-Setup!$B$28))))))</f>
        <v>25.6637462156458</v>
      </c>
      <c r="H36" s="16" t="n">
        <f aca="false">IF(OR(E36="",((2*Setup!$B$16*((D36-Setup!$B$19)+Setup!$B$26))^2+(2*(E36-Setup!$B$20)*Setup!$B$16)^2-(((C36-Setup!$B$18)^2+(D36-Setup!$B$19)^2+(E36-Setup!$B$20)^2)+Setup!$B$26^2+Setup!$B$16^2+2*(D36-Setup!$B$19)*Setup!$B$26-Setup!$B$17^2)^2)&lt;0),"",DEGREES(2*ATAN((-(2*(E36-Setup!$B$20)*Setup!$B$16)-SQRT(((2*Setup!$B$16*((D36-Setup!$B$19)+Setup!$B$26))^2+(2*(E36-Setup!$B$20)*Setup!$B$16)^2-(((C36-Setup!$B$18)^2+(D36-Setup!$B$19)^2+(E36-Setup!$B$20)^2)+Setup!$B$26^2+Setup!$B$16^2+2*(D36-Setup!$B$19)*Setup!$B$26-Setup!$B$17^2)^2)))/((((C36-Setup!$B$18)^2+(D36-Setup!$B$19)^2+(E36-Setup!$B$20)^2)+Setup!$B$26^2+Setup!$B$16^2+2*(D36-Setup!$B$19)*Setup!$B$26-Setup!$B$17^2)-(2*Setup!$B$16*((D36-Setup!$B$19)+Setup!$B$26))))))</f>
        <v>25.6637462156458</v>
      </c>
      <c r="I36" s="17"/>
      <c r="J36" s="17"/>
      <c r="K36" s="17"/>
      <c r="L36" s="17"/>
      <c r="M36" s="17"/>
      <c r="N36" s="17"/>
      <c r="O36" s="18" t="str">
        <f aca="false">IF(OR(L36="",F36=""),"",L36-F36)</f>
        <v/>
      </c>
      <c r="P36" s="18" t="str">
        <f aca="false">IF(OR(M36="",G36=""),"",M36-G36)</f>
        <v/>
      </c>
      <c r="Q36" s="18" t="str">
        <f aca="false">IF(OR(N36="",H36=""),"",N36-H36)</f>
        <v/>
      </c>
      <c r="R36" s="11"/>
    </row>
    <row r="37" customFormat="false" ht="15" hidden="false" customHeight="false" outlineLevel="0" collapsed="false">
      <c r="A37" s="15" t="s">
        <v>99</v>
      </c>
      <c r="B37" s="15" t="n">
        <v>15</v>
      </c>
      <c r="C37" s="15" t="n">
        <v>0</v>
      </c>
      <c r="D37" s="15" t="n">
        <v>0</v>
      </c>
      <c r="E37" s="15" t="n">
        <v>-710</v>
      </c>
      <c r="F37" s="16" t="n">
        <f aca="false">IF(OR(E37="",((-Setup!$B$16*(SQRT(3)*((C37-Setup!$B$18)+Setup!$B$27)+(D37-Setup!$B$19)+Setup!$B$28))^2+(2*(E37-Setup!$B$20)*Setup!$B$16)^2-(((C37-Setup!$B$18)^2+(D37-Setup!$B$19)^2+(E37-Setup!$B$20)^2)+Setup!$B$27^2+Setup!$B$28^2+Setup!$B$16^2+2*(C37-Setup!$B$18)*Setup!$B$27+2*(D37-Setup!$B$19)*Setup!$B$28-Setup!$B$17^2)^2)&lt;0),"",DEGREES(2*ATAN((-(2*(E37-Setup!$B$20)*Setup!$B$16)-SQRT(((-Setup!$B$16*(SQRT(3)*((C37-Setup!$B$18)+Setup!$B$27)+(D37-Setup!$B$19)+Setup!$B$28))^2+(2*(E37-Setup!$B$20)*Setup!$B$16)^2-(((C37-Setup!$B$18)^2+(D37-Setup!$B$19)^2+(E37-Setup!$B$20)^2)+Setup!$B$27^2+Setup!$B$28^2+Setup!$B$16^2+2*(C37-Setup!$B$18)*Setup!$B$27+2*(D37-Setup!$B$19)*Setup!$B$28-Setup!$B$17^2)^2)))/((((C37-Setup!$B$18)^2+(D37-Setup!$B$19)^2+(E37-Setup!$B$20)^2)+Setup!$B$27^2+Setup!$B$28^2+Setup!$B$16^2+2*(C37-Setup!$B$18)*Setup!$B$27+2*(D37-Setup!$B$19)*Setup!$B$28-Setup!$B$17^2)-(-Setup!$B$16*(SQRT(3)*((C37-Setup!$B$18)+Setup!$B$27)+(D37-Setup!$B$19)+Setup!$B$28))))))</f>
        <v>28.8568500274714</v>
      </c>
      <c r="G37" s="16" t="n">
        <f aca="false">IF(OR(E37="",((Setup!$B$16*(SQRT(3)*((C37-Setup!$B$18)-Setup!$B$27)-(D37-Setup!$B$19)-Setup!$B$28))^2+(2*(E37-Setup!$B$20)*Setup!$B$16)^2-(((C37-Setup!$B$18)^2+(D37-Setup!$B$19)^2+(E37-Setup!$B$20)^2)+Setup!$B$27^2+Setup!$B$28^2+Setup!$B$16^2-2*(C37-Setup!$B$18)*Setup!$B$27+2*(D37-Setup!$B$19)*Setup!$B$28-Setup!$B$17^2)^2)&lt;0),"",DEGREES(2*ATAN((-(2*(E37-Setup!$B$20)*Setup!$B$16)-SQRT(((Setup!$B$16*(SQRT(3)*((C37-Setup!$B$18)-Setup!$B$27)-(D37-Setup!$B$19)-Setup!$B$28))^2+(2*(E37-Setup!$B$20)*Setup!$B$16)^2-(((C37-Setup!$B$18)^2+(D37-Setup!$B$19)^2+(E37-Setup!$B$20)^2)+Setup!$B$27^2+Setup!$B$28^2+Setup!$B$16^2-2*(C37-Setup!$B$18)*Setup!$B$27+2*(D37-Setup!$B$19)*Setup!$B$28-Setup!$B$17^2)^2)))/((((C37-Setup!$B$18)^2+(D37-Setup!$B$19)^2+(E37-Setup!$B$20)^2)+Setup!$B$27^2+Setup!$B$28^2+Setup!$B$16^2-2*(C37-Setup!$B$18)*Setup!$B$27+2*(D37-Setup!$B$19)*Setup!$B$28-Setup!$B$17^2)-(Setup!$B$16*(SQRT(3)*((C37-Setup!$B$18)-Setup!$B$27)-(D37-Setup!$B$19)-Setup!$B$28))))))</f>
        <v>28.8568500274714</v>
      </c>
      <c r="H37" s="16" t="n">
        <f aca="false">IF(OR(E37="",((2*Setup!$B$16*((D37-Setup!$B$19)+Setup!$B$26))^2+(2*(E37-Setup!$B$20)*Setup!$B$16)^2-(((C37-Setup!$B$18)^2+(D37-Setup!$B$19)^2+(E37-Setup!$B$20)^2)+Setup!$B$26^2+Setup!$B$16^2+2*(D37-Setup!$B$19)*Setup!$B$26-Setup!$B$17^2)^2)&lt;0),"",DEGREES(2*ATAN((-(2*(E37-Setup!$B$20)*Setup!$B$16)-SQRT(((2*Setup!$B$16*((D37-Setup!$B$19)+Setup!$B$26))^2+(2*(E37-Setup!$B$20)*Setup!$B$16)^2-(((C37-Setup!$B$18)^2+(D37-Setup!$B$19)^2+(E37-Setup!$B$20)^2)+Setup!$B$26^2+Setup!$B$16^2+2*(D37-Setup!$B$19)*Setup!$B$26-Setup!$B$17^2)^2)))/((((C37-Setup!$B$18)^2+(D37-Setup!$B$19)^2+(E37-Setup!$B$20)^2)+Setup!$B$26^2+Setup!$B$16^2+2*(D37-Setup!$B$19)*Setup!$B$26-Setup!$B$17^2)-(2*Setup!$B$16*((D37-Setup!$B$19)+Setup!$B$26))))))</f>
        <v>28.8568500274714</v>
      </c>
      <c r="I37" s="17"/>
      <c r="J37" s="17"/>
      <c r="K37" s="17"/>
      <c r="L37" s="17"/>
      <c r="M37" s="17"/>
      <c r="N37" s="17"/>
      <c r="O37" s="18" t="str">
        <f aca="false">IF(OR(L37="",F37=""),"",L37-F37)</f>
        <v/>
      </c>
      <c r="P37" s="18" t="str">
        <f aca="false">IF(OR(M37="",G37=""),"",M37-G37)</f>
        <v/>
      </c>
      <c r="Q37" s="18" t="str">
        <f aca="false">IF(OR(N37="",H37=""),"",N37-H37)</f>
        <v/>
      </c>
      <c r="R37" s="11"/>
    </row>
    <row r="38" customFormat="false" ht="15" hidden="false" customHeight="false" outlineLevel="0" collapsed="false">
      <c r="A38" s="15" t="s">
        <v>99</v>
      </c>
      <c r="B38" s="15" t="n">
        <v>16</v>
      </c>
      <c r="C38" s="15" t="n">
        <v>0</v>
      </c>
      <c r="D38" s="15" t="n">
        <v>0</v>
      </c>
      <c r="E38" s="15" t="n">
        <v>-720</v>
      </c>
      <c r="F38" s="16" t="n">
        <f aca="false">IF(OR(E38="",((-Setup!$B$16*(SQRT(3)*((C38-Setup!$B$18)+Setup!$B$27)+(D38-Setup!$B$19)+Setup!$B$28))^2+(2*(E38-Setup!$B$20)*Setup!$B$16)^2-(((C38-Setup!$B$18)^2+(D38-Setup!$B$19)^2+(E38-Setup!$B$20)^2)+Setup!$B$27^2+Setup!$B$28^2+Setup!$B$16^2+2*(C38-Setup!$B$18)*Setup!$B$27+2*(D38-Setup!$B$19)*Setup!$B$28-Setup!$B$17^2)^2)&lt;0),"",DEGREES(2*ATAN((-(2*(E38-Setup!$B$20)*Setup!$B$16)-SQRT(((-Setup!$B$16*(SQRT(3)*((C38-Setup!$B$18)+Setup!$B$27)+(D38-Setup!$B$19)+Setup!$B$28))^2+(2*(E38-Setup!$B$20)*Setup!$B$16)^2-(((C38-Setup!$B$18)^2+(D38-Setup!$B$19)^2+(E38-Setup!$B$20)^2)+Setup!$B$27^2+Setup!$B$28^2+Setup!$B$16^2+2*(C38-Setup!$B$18)*Setup!$B$27+2*(D38-Setup!$B$19)*Setup!$B$28-Setup!$B$17^2)^2)))/((((C38-Setup!$B$18)^2+(D38-Setup!$B$19)^2+(E38-Setup!$B$20)^2)+Setup!$B$27^2+Setup!$B$28^2+Setup!$B$16^2+2*(C38-Setup!$B$18)*Setup!$B$27+2*(D38-Setup!$B$19)*Setup!$B$28-Setup!$B$17^2)-(-Setup!$B$16*(SQRT(3)*((C38-Setup!$B$18)+Setup!$B$27)+(D38-Setup!$B$19)+Setup!$B$28))))))</f>
        <v>32.1078315922236</v>
      </c>
      <c r="G38" s="16" t="n">
        <f aca="false">IF(OR(E38="",((Setup!$B$16*(SQRT(3)*((C38-Setup!$B$18)-Setup!$B$27)-(D38-Setup!$B$19)-Setup!$B$28))^2+(2*(E38-Setup!$B$20)*Setup!$B$16)^2-(((C38-Setup!$B$18)^2+(D38-Setup!$B$19)^2+(E38-Setup!$B$20)^2)+Setup!$B$27^2+Setup!$B$28^2+Setup!$B$16^2-2*(C38-Setup!$B$18)*Setup!$B$27+2*(D38-Setup!$B$19)*Setup!$B$28-Setup!$B$17^2)^2)&lt;0),"",DEGREES(2*ATAN((-(2*(E38-Setup!$B$20)*Setup!$B$16)-SQRT(((Setup!$B$16*(SQRT(3)*((C38-Setup!$B$18)-Setup!$B$27)-(D38-Setup!$B$19)-Setup!$B$28))^2+(2*(E38-Setup!$B$20)*Setup!$B$16)^2-(((C38-Setup!$B$18)^2+(D38-Setup!$B$19)^2+(E38-Setup!$B$20)^2)+Setup!$B$27^2+Setup!$B$28^2+Setup!$B$16^2-2*(C38-Setup!$B$18)*Setup!$B$27+2*(D38-Setup!$B$19)*Setup!$B$28-Setup!$B$17^2)^2)))/((((C38-Setup!$B$18)^2+(D38-Setup!$B$19)^2+(E38-Setup!$B$20)^2)+Setup!$B$27^2+Setup!$B$28^2+Setup!$B$16^2-2*(C38-Setup!$B$18)*Setup!$B$27+2*(D38-Setup!$B$19)*Setup!$B$28-Setup!$B$17^2)-(Setup!$B$16*(SQRT(3)*((C38-Setup!$B$18)-Setup!$B$27)-(D38-Setup!$B$19)-Setup!$B$28))))))</f>
        <v>32.1078315922236</v>
      </c>
      <c r="H38" s="16" t="n">
        <f aca="false">IF(OR(E38="",((2*Setup!$B$16*((D38-Setup!$B$19)+Setup!$B$26))^2+(2*(E38-Setup!$B$20)*Setup!$B$16)^2-(((C38-Setup!$B$18)^2+(D38-Setup!$B$19)^2+(E38-Setup!$B$20)^2)+Setup!$B$26^2+Setup!$B$16^2+2*(D38-Setup!$B$19)*Setup!$B$26-Setup!$B$17^2)^2)&lt;0),"",DEGREES(2*ATAN((-(2*(E38-Setup!$B$20)*Setup!$B$16)-SQRT(((2*Setup!$B$16*((D38-Setup!$B$19)+Setup!$B$26))^2+(2*(E38-Setup!$B$20)*Setup!$B$16)^2-(((C38-Setup!$B$18)^2+(D38-Setup!$B$19)^2+(E38-Setup!$B$20)^2)+Setup!$B$26^2+Setup!$B$16^2+2*(D38-Setup!$B$19)*Setup!$B$26-Setup!$B$17^2)^2)))/((((C38-Setup!$B$18)^2+(D38-Setup!$B$19)^2+(E38-Setup!$B$20)^2)+Setup!$B$26^2+Setup!$B$16^2+2*(D38-Setup!$B$19)*Setup!$B$26-Setup!$B$17^2)-(2*Setup!$B$16*((D38-Setup!$B$19)+Setup!$B$26))))))</f>
        <v>32.1078315922236</v>
      </c>
      <c r="I38" s="17"/>
      <c r="J38" s="17"/>
      <c r="K38" s="17"/>
      <c r="L38" s="17"/>
      <c r="M38" s="17"/>
      <c r="N38" s="17"/>
      <c r="O38" s="18" t="str">
        <f aca="false">IF(OR(L38="",F38=""),"",L38-F38)</f>
        <v/>
      </c>
      <c r="P38" s="18" t="str">
        <f aca="false">IF(OR(M38="",G38=""),"",M38-G38)</f>
        <v/>
      </c>
      <c r="Q38" s="18" t="str">
        <f aca="false">IF(OR(N38="",H38=""),"",N38-H38)</f>
        <v/>
      </c>
      <c r="R38" s="11"/>
    </row>
    <row r="39" customFormat="false" ht="15" hidden="false" customHeight="false" outlineLevel="0" collapsed="false">
      <c r="A39" s="15" t="s">
        <v>99</v>
      </c>
      <c r="B39" s="15" t="n">
        <v>17</v>
      </c>
      <c r="C39" s="15" t="n">
        <v>0</v>
      </c>
      <c r="D39" s="15" t="n">
        <v>0</v>
      </c>
      <c r="E39" s="15" t="n">
        <v>-730</v>
      </c>
      <c r="F39" s="16" t="n">
        <f aca="false">IF(OR(E39="",((-Setup!$B$16*(SQRT(3)*((C39-Setup!$B$18)+Setup!$B$27)+(D39-Setup!$B$19)+Setup!$B$28))^2+(2*(E39-Setup!$B$20)*Setup!$B$16)^2-(((C39-Setup!$B$18)^2+(D39-Setup!$B$19)^2+(E39-Setup!$B$20)^2)+Setup!$B$27^2+Setup!$B$28^2+Setup!$B$16^2+2*(C39-Setup!$B$18)*Setup!$B$27+2*(D39-Setup!$B$19)*Setup!$B$28-Setup!$B$17^2)^2)&lt;0),"",DEGREES(2*ATAN((-(2*(E39-Setup!$B$20)*Setup!$B$16)-SQRT(((-Setup!$B$16*(SQRT(3)*((C39-Setup!$B$18)+Setup!$B$27)+(D39-Setup!$B$19)+Setup!$B$28))^2+(2*(E39-Setup!$B$20)*Setup!$B$16)^2-(((C39-Setup!$B$18)^2+(D39-Setup!$B$19)^2+(E39-Setup!$B$20)^2)+Setup!$B$27^2+Setup!$B$28^2+Setup!$B$16^2+2*(C39-Setup!$B$18)*Setup!$B$27+2*(D39-Setup!$B$19)*Setup!$B$28-Setup!$B$17^2)^2)))/((((C39-Setup!$B$18)^2+(D39-Setup!$B$19)^2+(E39-Setup!$B$20)^2)+Setup!$B$27^2+Setup!$B$28^2+Setup!$B$16^2+2*(C39-Setup!$B$18)*Setup!$B$27+2*(D39-Setup!$B$19)*Setup!$B$28-Setup!$B$17^2)-(-Setup!$B$16*(SQRT(3)*((C39-Setup!$B$18)+Setup!$B$27)+(D39-Setup!$B$19)+Setup!$B$28))))))</f>
        <v>35.4356218429757</v>
      </c>
      <c r="G39" s="16" t="n">
        <f aca="false">IF(OR(E39="",((Setup!$B$16*(SQRT(3)*((C39-Setup!$B$18)-Setup!$B$27)-(D39-Setup!$B$19)-Setup!$B$28))^2+(2*(E39-Setup!$B$20)*Setup!$B$16)^2-(((C39-Setup!$B$18)^2+(D39-Setup!$B$19)^2+(E39-Setup!$B$20)^2)+Setup!$B$27^2+Setup!$B$28^2+Setup!$B$16^2-2*(C39-Setup!$B$18)*Setup!$B$27+2*(D39-Setup!$B$19)*Setup!$B$28-Setup!$B$17^2)^2)&lt;0),"",DEGREES(2*ATAN((-(2*(E39-Setup!$B$20)*Setup!$B$16)-SQRT(((Setup!$B$16*(SQRT(3)*((C39-Setup!$B$18)-Setup!$B$27)-(D39-Setup!$B$19)-Setup!$B$28))^2+(2*(E39-Setup!$B$20)*Setup!$B$16)^2-(((C39-Setup!$B$18)^2+(D39-Setup!$B$19)^2+(E39-Setup!$B$20)^2)+Setup!$B$27^2+Setup!$B$28^2+Setup!$B$16^2-2*(C39-Setup!$B$18)*Setup!$B$27+2*(D39-Setup!$B$19)*Setup!$B$28-Setup!$B$17^2)^2)))/((((C39-Setup!$B$18)^2+(D39-Setup!$B$19)^2+(E39-Setup!$B$20)^2)+Setup!$B$27^2+Setup!$B$28^2+Setup!$B$16^2-2*(C39-Setup!$B$18)*Setup!$B$27+2*(D39-Setup!$B$19)*Setup!$B$28-Setup!$B$17^2)-(Setup!$B$16*(SQRT(3)*((C39-Setup!$B$18)-Setup!$B$27)-(D39-Setup!$B$19)-Setup!$B$28))))))</f>
        <v>35.4356218429757</v>
      </c>
      <c r="H39" s="16" t="n">
        <f aca="false">IF(OR(E39="",((2*Setup!$B$16*((D39-Setup!$B$19)+Setup!$B$26))^2+(2*(E39-Setup!$B$20)*Setup!$B$16)^2-(((C39-Setup!$B$18)^2+(D39-Setup!$B$19)^2+(E39-Setup!$B$20)^2)+Setup!$B$26^2+Setup!$B$16^2+2*(D39-Setup!$B$19)*Setup!$B$26-Setup!$B$17^2)^2)&lt;0),"",DEGREES(2*ATAN((-(2*(E39-Setup!$B$20)*Setup!$B$16)-SQRT(((2*Setup!$B$16*((D39-Setup!$B$19)+Setup!$B$26))^2+(2*(E39-Setup!$B$20)*Setup!$B$16)^2-(((C39-Setup!$B$18)^2+(D39-Setup!$B$19)^2+(E39-Setup!$B$20)^2)+Setup!$B$26^2+Setup!$B$16^2+2*(D39-Setup!$B$19)*Setup!$B$26-Setup!$B$17^2)^2)))/((((C39-Setup!$B$18)^2+(D39-Setup!$B$19)^2+(E39-Setup!$B$20)^2)+Setup!$B$26^2+Setup!$B$16^2+2*(D39-Setup!$B$19)*Setup!$B$26-Setup!$B$17^2)-(2*Setup!$B$16*((D39-Setup!$B$19)+Setup!$B$26))))))</f>
        <v>35.4356218429757</v>
      </c>
      <c r="I39" s="17"/>
      <c r="J39" s="17"/>
      <c r="K39" s="17"/>
      <c r="L39" s="17"/>
      <c r="M39" s="17"/>
      <c r="N39" s="17"/>
      <c r="O39" s="18" t="str">
        <f aca="false">IF(OR(L39="",F39=""),"",L39-F39)</f>
        <v/>
      </c>
      <c r="P39" s="18" t="str">
        <f aca="false">IF(OR(M39="",G39=""),"",M39-G39)</f>
        <v/>
      </c>
      <c r="Q39" s="18" t="str">
        <f aca="false">IF(OR(N39="",H39=""),"",N39-H39)</f>
        <v/>
      </c>
      <c r="R39" s="11"/>
    </row>
  </sheetData>
  <conditionalFormatting sqref="I6:K39">
    <cfRule type="expression" priority="2" aboveAverage="0" equalAverage="0" bottom="0" percent="0" rank="0" text="" dxfId="0">
      <formula>AND(ISNUMBER(I6),ISNUMBER(F6),ABS(I6-F6)&gt;0.2)</formula>
    </cfRule>
  </conditionalFormatting>
  <conditionalFormatting sqref="O6:Q39">
    <cfRule type="expression" priority="3" aboveAverage="0" equalAverage="0" bottom="0" percent="0" rank="0" text="" dxfId="0">
      <formula>AND(ISNUMBER(O6),ABS(O6)&gt;1)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14" min="6" style="0" width="11"/>
    <col collapsed="false" customWidth="true" hidden="false" outlineLevel="0" max="17" min="15" style="0" width="10"/>
    <col collapsed="false" customWidth="true" hidden="false" outlineLevel="0" max="18" min="18" style="0" width="30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6" t="s">
        <v>101</v>
      </c>
    </row>
    <row r="3" customFormat="false" ht="15" hidden="false" customHeight="false" outlineLevel="0" collapsed="false">
      <c r="A3" s="12" t="s">
        <v>97</v>
      </c>
    </row>
    <row r="5" customFormat="false" ht="31.5" hidden="false" customHeight="true" outlineLevel="0" collapsed="false">
      <c r="A5" s="8" t="s">
        <v>102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8" t="s">
        <v>42</v>
      </c>
      <c r="I5" s="8" t="s">
        <v>43</v>
      </c>
      <c r="J5" s="8" t="s">
        <v>44</v>
      </c>
      <c r="K5" s="8" t="s">
        <v>45</v>
      </c>
      <c r="L5" s="8" t="s">
        <v>46</v>
      </c>
      <c r="M5" s="8" t="s">
        <v>47</v>
      </c>
      <c r="N5" s="8" t="s">
        <v>48</v>
      </c>
      <c r="O5" s="8" t="s">
        <v>49</v>
      </c>
      <c r="P5" s="8" t="s">
        <v>50</v>
      </c>
      <c r="Q5" s="8" t="s">
        <v>51</v>
      </c>
      <c r="R5" s="8" t="s">
        <v>98</v>
      </c>
    </row>
    <row r="6" customFormat="false" ht="15" hidden="false" customHeight="false" outlineLevel="0" collapsed="false">
      <c r="A6" s="15" t="s">
        <v>103</v>
      </c>
      <c r="B6" s="15" t="n">
        <v>1</v>
      </c>
      <c r="C6" s="15" t="n">
        <v>0</v>
      </c>
      <c r="D6" s="15" t="n">
        <v>0</v>
      </c>
      <c r="E6" s="15" t="n">
        <v>-730</v>
      </c>
      <c r="F6" s="16" t="n">
        <f aca="false">IF(OR(E6="",((-Setup!$B$16*(SQRT(3)*((C6-Setup!$B$18)+Setup!$B$27)+(D6-Setup!$B$19)+Setup!$B$28))^2+(2*(E6-Setup!$B$20)*Setup!$B$16)^2-(((C6-Setup!$B$18)^2+(D6-Setup!$B$19)^2+(E6-Setup!$B$20)^2)+Setup!$B$27^2+Setup!$B$28^2+Setup!$B$16^2+2*(C6-Setup!$B$18)*Setup!$B$27+2*(D6-Setup!$B$19)*Setup!$B$28-Setup!$B$17^2)^2)&lt;0),"",DEGREES(2*ATAN((-(2*(E6-Setup!$B$20)*Setup!$B$16)-SQRT(((-Setup!$B$16*(SQRT(3)*((C6-Setup!$B$18)+Setup!$B$27)+(D6-Setup!$B$19)+Setup!$B$28))^2+(2*(E6-Setup!$B$20)*Setup!$B$16)^2-(((C6-Setup!$B$18)^2+(D6-Setup!$B$19)^2+(E6-Setup!$B$20)^2)+Setup!$B$27^2+Setup!$B$28^2+Setup!$B$16^2+2*(C6-Setup!$B$18)*Setup!$B$27+2*(D6-Setup!$B$19)*Setup!$B$28-Setup!$B$17^2)^2)))/((((C6-Setup!$B$18)^2+(D6-Setup!$B$19)^2+(E6-Setup!$B$20)^2)+Setup!$B$27^2+Setup!$B$28^2+Setup!$B$16^2+2*(C6-Setup!$B$18)*Setup!$B$27+2*(D6-Setup!$B$19)*Setup!$B$28-Setup!$B$17^2)-(-Setup!$B$16*(SQRT(3)*((C6-Setup!$B$18)+Setup!$B$27)+(D6-Setup!$B$19)+Setup!$B$28))))))</f>
        <v>35.4356218429757</v>
      </c>
      <c r="G6" s="16" t="n">
        <f aca="false">IF(OR(E6="",((Setup!$B$16*(SQRT(3)*((C6-Setup!$B$18)-Setup!$B$27)-(D6-Setup!$B$19)-Setup!$B$28))^2+(2*(E6-Setup!$B$20)*Setup!$B$16)^2-(((C6-Setup!$B$18)^2+(D6-Setup!$B$19)^2+(E6-Setup!$B$20)^2)+Setup!$B$27^2+Setup!$B$28^2+Setup!$B$16^2-2*(C6-Setup!$B$18)*Setup!$B$27+2*(D6-Setup!$B$19)*Setup!$B$28-Setup!$B$17^2)^2)&lt;0),"",DEGREES(2*ATAN((-(2*(E6-Setup!$B$20)*Setup!$B$16)-SQRT(((Setup!$B$16*(SQRT(3)*((C6-Setup!$B$18)-Setup!$B$27)-(D6-Setup!$B$19)-Setup!$B$28))^2+(2*(E6-Setup!$B$20)*Setup!$B$16)^2-(((C6-Setup!$B$18)^2+(D6-Setup!$B$19)^2+(E6-Setup!$B$20)^2)+Setup!$B$27^2+Setup!$B$28^2+Setup!$B$16^2-2*(C6-Setup!$B$18)*Setup!$B$27+2*(D6-Setup!$B$19)*Setup!$B$28-Setup!$B$17^2)^2)))/((((C6-Setup!$B$18)^2+(D6-Setup!$B$19)^2+(E6-Setup!$B$20)^2)+Setup!$B$27^2+Setup!$B$28^2+Setup!$B$16^2-2*(C6-Setup!$B$18)*Setup!$B$27+2*(D6-Setup!$B$19)*Setup!$B$28-Setup!$B$17^2)-(Setup!$B$16*(SQRT(3)*((C6-Setup!$B$18)-Setup!$B$27)-(D6-Setup!$B$19)-Setup!$B$28))))))</f>
        <v>35.4356218429757</v>
      </c>
      <c r="H6" s="16" t="n">
        <f aca="false">IF(OR(E6="",((2*Setup!$B$16*((D6-Setup!$B$19)+Setup!$B$26))^2+(2*(E6-Setup!$B$20)*Setup!$B$16)^2-(((C6-Setup!$B$18)^2+(D6-Setup!$B$19)^2+(E6-Setup!$B$20)^2)+Setup!$B$26^2+Setup!$B$16^2+2*(D6-Setup!$B$19)*Setup!$B$26-Setup!$B$17^2)^2)&lt;0),"",DEGREES(2*ATAN((-(2*(E6-Setup!$B$20)*Setup!$B$16)-SQRT(((2*Setup!$B$16*((D6-Setup!$B$19)+Setup!$B$26))^2+(2*(E6-Setup!$B$20)*Setup!$B$16)^2-(((C6-Setup!$B$18)^2+(D6-Setup!$B$19)^2+(E6-Setup!$B$20)^2)+Setup!$B$26^2+Setup!$B$16^2+2*(D6-Setup!$B$19)*Setup!$B$26-Setup!$B$17^2)^2)))/((((C6-Setup!$B$18)^2+(D6-Setup!$B$19)^2+(E6-Setup!$B$20)^2)+Setup!$B$26^2+Setup!$B$16^2+2*(D6-Setup!$B$19)*Setup!$B$26-Setup!$B$17^2)-(2*Setup!$B$16*((D6-Setup!$B$19)+Setup!$B$26))))))</f>
        <v>35.4356218429757</v>
      </c>
      <c r="I6" s="17"/>
      <c r="J6" s="17"/>
      <c r="K6" s="17"/>
      <c r="L6" s="17"/>
      <c r="M6" s="17"/>
      <c r="N6" s="17"/>
      <c r="O6" s="18" t="str">
        <f aca="false">IF(OR(L6="",F6=""),"",L6-F6)</f>
        <v/>
      </c>
      <c r="P6" s="18" t="str">
        <f aca="false">IF(OR(M6="",G6=""),"",M6-G6)</f>
        <v/>
      </c>
      <c r="Q6" s="18" t="str">
        <f aca="false">IF(OR(N6="",H6=""),"",N6-H6)</f>
        <v/>
      </c>
      <c r="R6" s="11"/>
    </row>
    <row r="7" customFormat="false" ht="15" hidden="false" customHeight="false" outlineLevel="0" collapsed="false">
      <c r="A7" s="15" t="s">
        <v>104</v>
      </c>
      <c r="B7" s="15" t="n">
        <v>2</v>
      </c>
      <c r="C7" s="15" t="n">
        <v>0</v>
      </c>
      <c r="D7" s="15" t="n">
        <v>0</v>
      </c>
      <c r="E7" s="15" t="n">
        <v>-730</v>
      </c>
      <c r="F7" s="16" t="n">
        <f aca="false">IF(OR(E7="",((-Setup!$B$16*(SQRT(3)*((C7-Setup!$B$18)+Setup!$B$27)+(D7-Setup!$B$19)+Setup!$B$28))^2+(2*(E7-Setup!$B$20)*Setup!$B$16)^2-(((C7-Setup!$B$18)^2+(D7-Setup!$B$19)^2+(E7-Setup!$B$20)^2)+Setup!$B$27^2+Setup!$B$28^2+Setup!$B$16^2+2*(C7-Setup!$B$18)*Setup!$B$27+2*(D7-Setup!$B$19)*Setup!$B$28-Setup!$B$17^2)^2)&lt;0),"",DEGREES(2*ATAN((-(2*(E7-Setup!$B$20)*Setup!$B$16)-SQRT(((-Setup!$B$16*(SQRT(3)*((C7-Setup!$B$18)+Setup!$B$27)+(D7-Setup!$B$19)+Setup!$B$28))^2+(2*(E7-Setup!$B$20)*Setup!$B$16)^2-(((C7-Setup!$B$18)^2+(D7-Setup!$B$19)^2+(E7-Setup!$B$20)^2)+Setup!$B$27^2+Setup!$B$28^2+Setup!$B$16^2+2*(C7-Setup!$B$18)*Setup!$B$27+2*(D7-Setup!$B$19)*Setup!$B$28-Setup!$B$17^2)^2)))/((((C7-Setup!$B$18)^2+(D7-Setup!$B$19)^2+(E7-Setup!$B$20)^2)+Setup!$B$27^2+Setup!$B$28^2+Setup!$B$16^2+2*(C7-Setup!$B$18)*Setup!$B$27+2*(D7-Setup!$B$19)*Setup!$B$28-Setup!$B$17^2)-(-Setup!$B$16*(SQRT(3)*((C7-Setup!$B$18)+Setup!$B$27)+(D7-Setup!$B$19)+Setup!$B$28))))))</f>
        <v>35.4356218429757</v>
      </c>
      <c r="G7" s="16" t="n">
        <f aca="false">IF(OR(E7="",((Setup!$B$16*(SQRT(3)*((C7-Setup!$B$18)-Setup!$B$27)-(D7-Setup!$B$19)-Setup!$B$28))^2+(2*(E7-Setup!$B$20)*Setup!$B$16)^2-(((C7-Setup!$B$18)^2+(D7-Setup!$B$19)^2+(E7-Setup!$B$20)^2)+Setup!$B$27^2+Setup!$B$28^2+Setup!$B$16^2-2*(C7-Setup!$B$18)*Setup!$B$27+2*(D7-Setup!$B$19)*Setup!$B$28-Setup!$B$17^2)^2)&lt;0),"",DEGREES(2*ATAN((-(2*(E7-Setup!$B$20)*Setup!$B$16)-SQRT(((Setup!$B$16*(SQRT(3)*((C7-Setup!$B$18)-Setup!$B$27)-(D7-Setup!$B$19)-Setup!$B$28))^2+(2*(E7-Setup!$B$20)*Setup!$B$16)^2-(((C7-Setup!$B$18)^2+(D7-Setup!$B$19)^2+(E7-Setup!$B$20)^2)+Setup!$B$27^2+Setup!$B$28^2+Setup!$B$16^2-2*(C7-Setup!$B$18)*Setup!$B$27+2*(D7-Setup!$B$19)*Setup!$B$28-Setup!$B$17^2)^2)))/((((C7-Setup!$B$18)^2+(D7-Setup!$B$19)^2+(E7-Setup!$B$20)^2)+Setup!$B$27^2+Setup!$B$28^2+Setup!$B$16^2-2*(C7-Setup!$B$18)*Setup!$B$27+2*(D7-Setup!$B$19)*Setup!$B$28-Setup!$B$17^2)-(Setup!$B$16*(SQRT(3)*((C7-Setup!$B$18)-Setup!$B$27)-(D7-Setup!$B$19)-Setup!$B$28))))))</f>
        <v>35.4356218429757</v>
      </c>
      <c r="H7" s="16" t="n">
        <f aca="false">IF(OR(E7="",((2*Setup!$B$16*((D7-Setup!$B$19)+Setup!$B$26))^2+(2*(E7-Setup!$B$20)*Setup!$B$16)^2-(((C7-Setup!$B$18)^2+(D7-Setup!$B$19)^2+(E7-Setup!$B$20)^2)+Setup!$B$26^2+Setup!$B$16^2+2*(D7-Setup!$B$19)*Setup!$B$26-Setup!$B$17^2)^2)&lt;0),"",DEGREES(2*ATAN((-(2*(E7-Setup!$B$20)*Setup!$B$16)-SQRT(((2*Setup!$B$16*((D7-Setup!$B$19)+Setup!$B$26))^2+(2*(E7-Setup!$B$20)*Setup!$B$16)^2-(((C7-Setup!$B$18)^2+(D7-Setup!$B$19)^2+(E7-Setup!$B$20)^2)+Setup!$B$26^2+Setup!$B$16^2+2*(D7-Setup!$B$19)*Setup!$B$26-Setup!$B$17^2)^2)))/((((C7-Setup!$B$18)^2+(D7-Setup!$B$19)^2+(E7-Setup!$B$20)^2)+Setup!$B$26^2+Setup!$B$16^2+2*(D7-Setup!$B$19)*Setup!$B$26-Setup!$B$17^2)-(2*Setup!$B$16*((D7-Setup!$B$19)+Setup!$B$26))))))</f>
        <v>35.4356218429757</v>
      </c>
      <c r="I7" s="17"/>
      <c r="J7" s="17"/>
      <c r="K7" s="17"/>
      <c r="L7" s="17"/>
      <c r="M7" s="17"/>
      <c r="N7" s="17"/>
      <c r="O7" s="18" t="str">
        <f aca="false">IF(OR(L7="",F7=""),"",L7-F7)</f>
        <v/>
      </c>
      <c r="P7" s="18" t="str">
        <f aca="false">IF(OR(M7="",G7=""),"",M7-G7)</f>
        <v/>
      </c>
      <c r="Q7" s="18" t="str">
        <f aca="false">IF(OR(N7="",H7=""),"",N7-H7)</f>
        <v/>
      </c>
      <c r="R7" s="11"/>
    </row>
    <row r="8" customFormat="false" ht="15" hidden="false" customHeight="false" outlineLevel="0" collapsed="false">
      <c r="A8" s="15" t="s">
        <v>105</v>
      </c>
      <c r="B8" s="15" t="n">
        <v>3</v>
      </c>
      <c r="C8" s="15" t="n">
        <v>0</v>
      </c>
      <c r="D8" s="15" t="n">
        <v>0</v>
      </c>
      <c r="E8" s="15" t="n">
        <v>-730</v>
      </c>
      <c r="F8" s="16" t="n">
        <f aca="false">IF(OR(E8="",((-Setup!$B$16*(SQRT(3)*((C8-Setup!$B$18)+Setup!$B$27)+(D8-Setup!$B$19)+Setup!$B$28))^2+(2*(E8-Setup!$B$20)*Setup!$B$16)^2-(((C8-Setup!$B$18)^2+(D8-Setup!$B$19)^2+(E8-Setup!$B$20)^2)+Setup!$B$27^2+Setup!$B$28^2+Setup!$B$16^2+2*(C8-Setup!$B$18)*Setup!$B$27+2*(D8-Setup!$B$19)*Setup!$B$28-Setup!$B$17^2)^2)&lt;0),"",DEGREES(2*ATAN((-(2*(E8-Setup!$B$20)*Setup!$B$16)-SQRT(((-Setup!$B$16*(SQRT(3)*((C8-Setup!$B$18)+Setup!$B$27)+(D8-Setup!$B$19)+Setup!$B$28))^2+(2*(E8-Setup!$B$20)*Setup!$B$16)^2-(((C8-Setup!$B$18)^2+(D8-Setup!$B$19)^2+(E8-Setup!$B$20)^2)+Setup!$B$27^2+Setup!$B$28^2+Setup!$B$16^2+2*(C8-Setup!$B$18)*Setup!$B$27+2*(D8-Setup!$B$19)*Setup!$B$28-Setup!$B$17^2)^2)))/((((C8-Setup!$B$18)^2+(D8-Setup!$B$19)^2+(E8-Setup!$B$20)^2)+Setup!$B$27^2+Setup!$B$28^2+Setup!$B$16^2+2*(C8-Setup!$B$18)*Setup!$B$27+2*(D8-Setup!$B$19)*Setup!$B$28-Setup!$B$17^2)-(-Setup!$B$16*(SQRT(3)*((C8-Setup!$B$18)+Setup!$B$27)+(D8-Setup!$B$19)+Setup!$B$28))))))</f>
        <v>35.4356218429757</v>
      </c>
      <c r="G8" s="16" t="n">
        <f aca="false">IF(OR(E8="",((Setup!$B$16*(SQRT(3)*((C8-Setup!$B$18)-Setup!$B$27)-(D8-Setup!$B$19)-Setup!$B$28))^2+(2*(E8-Setup!$B$20)*Setup!$B$16)^2-(((C8-Setup!$B$18)^2+(D8-Setup!$B$19)^2+(E8-Setup!$B$20)^2)+Setup!$B$27^2+Setup!$B$28^2+Setup!$B$16^2-2*(C8-Setup!$B$18)*Setup!$B$27+2*(D8-Setup!$B$19)*Setup!$B$28-Setup!$B$17^2)^2)&lt;0),"",DEGREES(2*ATAN((-(2*(E8-Setup!$B$20)*Setup!$B$16)-SQRT(((Setup!$B$16*(SQRT(3)*((C8-Setup!$B$18)-Setup!$B$27)-(D8-Setup!$B$19)-Setup!$B$28))^2+(2*(E8-Setup!$B$20)*Setup!$B$16)^2-(((C8-Setup!$B$18)^2+(D8-Setup!$B$19)^2+(E8-Setup!$B$20)^2)+Setup!$B$27^2+Setup!$B$28^2+Setup!$B$16^2-2*(C8-Setup!$B$18)*Setup!$B$27+2*(D8-Setup!$B$19)*Setup!$B$28-Setup!$B$17^2)^2)))/((((C8-Setup!$B$18)^2+(D8-Setup!$B$19)^2+(E8-Setup!$B$20)^2)+Setup!$B$27^2+Setup!$B$28^2+Setup!$B$16^2-2*(C8-Setup!$B$18)*Setup!$B$27+2*(D8-Setup!$B$19)*Setup!$B$28-Setup!$B$17^2)-(Setup!$B$16*(SQRT(3)*((C8-Setup!$B$18)-Setup!$B$27)-(D8-Setup!$B$19)-Setup!$B$28))))))</f>
        <v>35.4356218429757</v>
      </c>
      <c r="H8" s="16" t="n">
        <f aca="false">IF(OR(E8="",((2*Setup!$B$16*((D8-Setup!$B$19)+Setup!$B$26))^2+(2*(E8-Setup!$B$20)*Setup!$B$16)^2-(((C8-Setup!$B$18)^2+(D8-Setup!$B$19)^2+(E8-Setup!$B$20)^2)+Setup!$B$26^2+Setup!$B$16^2+2*(D8-Setup!$B$19)*Setup!$B$26-Setup!$B$17^2)^2)&lt;0),"",DEGREES(2*ATAN((-(2*(E8-Setup!$B$20)*Setup!$B$16)-SQRT(((2*Setup!$B$16*((D8-Setup!$B$19)+Setup!$B$26))^2+(2*(E8-Setup!$B$20)*Setup!$B$16)^2-(((C8-Setup!$B$18)^2+(D8-Setup!$B$19)^2+(E8-Setup!$B$20)^2)+Setup!$B$26^2+Setup!$B$16^2+2*(D8-Setup!$B$19)*Setup!$B$26-Setup!$B$17^2)^2)))/((((C8-Setup!$B$18)^2+(D8-Setup!$B$19)^2+(E8-Setup!$B$20)^2)+Setup!$B$26^2+Setup!$B$16^2+2*(D8-Setup!$B$19)*Setup!$B$26-Setup!$B$17^2)-(2*Setup!$B$16*((D8-Setup!$B$19)+Setup!$B$26))))))</f>
        <v>35.4356218429757</v>
      </c>
      <c r="I8" s="17"/>
      <c r="J8" s="17"/>
      <c r="K8" s="17"/>
      <c r="L8" s="17"/>
      <c r="M8" s="17"/>
      <c r="N8" s="17"/>
      <c r="O8" s="18" t="str">
        <f aca="false">IF(OR(L8="",F8=""),"",L8-F8)</f>
        <v/>
      </c>
      <c r="P8" s="18" t="str">
        <f aca="false">IF(OR(M8="",G8=""),"",M8-G8)</f>
        <v/>
      </c>
      <c r="Q8" s="18" t="str">
        <f aca="false">IF(OR(N8="",H8=""),"",N8-H8)</f>
        <v/>
      </c>
      <c r="R8" s="11"/>
    </row>
    <row r="9" customFormat="false" ht="15" hidden="false" customHeight="false" outlineLevel="0" collapsed="false">
      <c r="A9" s="15" t="s">
        <v>103</v>
      </c>
      <c r="B9" s="15" t="n">
        <v>4</v>
      </c>
      <c r="C9" s="15" t="n">
        <v>0</v>
      </c>
      <c r="D9" s="15" t="n">
        <v>0</v>
      </c>
      <c r="E9" s="15" t="n">
        <v>-650</v>
      </c>
      <c r="F9" s="16" t="n">
        <f aca="false">IF(OR(E9="",((-Setup!$B$16*(SQRT(3)*((C9-Setup!$B$18)+Setup!$B$27)+(D9-Setup!$B$19)+Setup!$B$28))^2+(2*(E9-Setup!$B$20)*Setup!$B$16)^2-(((C9-Setup!$B$18)^2+(D9-Setup!$B$19)^2+(E9-Setup!$B$20)^2)+Setup!$B$27^2+Setup!$B$28^2+Setup!$B$16^2+2*(C9-Setup!$B$18)*Setup!$B$27+2*(D9-Setup!$B$19)*Setup!$B$28-Setup!$B$17^2)^2)&lt;0),"",DEGREES(2*ATAN((-(2*(E9-Setup!$B$20)*Setup!$B$16)-SQRT(((-Setup!$B$16*(SQRT(3)*((C9-Setup!$B$18)+Setup!$B$27)+(D9-Setup!$B$19)+Setup!$B$28))^2+(2*(E9-Setup!$B$20)*Setup!$B$16)^2-(((C9-Setup!$B$18)^2+(D9-Setup!$B$19)^2+(E9-Setup!$B$20)^2)+Setup!$B$27^2+Setup!$B$28^2+Setup!$B$16^2+2*(C9-Setup!$B$18)*Setup!$B$27+2*(D9-Setup!$B$19)*Setup!$B$28-Setup!$B$17^2)^2)))/((((C9-Setup!$B$18)^2+(D9-Setup!$B$19)^2+(E9-Setup!$B$20)^2)+Setup!$B$27^2+Setup!$B$28^2+Setup!$B$16^2+2*(C9-Setup!$B$18)*Setup!$B$27+2*(D9-Setup!$B$19)*Setup!$B$28-Setup!$B$17^2)-(-Setup!$B$16*(SQRT(3)*((C9-Setup!$B$18)+Setup!$B$27)+(D9-Setup!$B$19)+Setup!$B$28))))))</f>
        <v>10.0645439782632</v>
      </c>
      <c r="G9" s="16" t="n">
        <f aca="false">IF(OR(E9="",((Setup!$B$16*(SQRT(3)*((C9-Setup!$B$18)-Setup!$B$27)-(D9-Setup!$B$19)-Setup!$B$28))^2+(2*(E9-Setup!$B$20)*Setup!$B$16)^2-(((C9-Setup!$B$18)^2+(D9-Setup!$B$19)^2+(E9-Setup!$B$20)^2)+Setup!$B$27^2+Setup!$B$28^2+Setup!$B$16^2-2*(C9-Setup!$B$18)*Setup!$B$27+2*(D9-Setup!$B$19)*Setup!$B$28-Setup!$B$17^2)^2)&lt;0),"",DEGREES(2*ATAN((-(2*(E9-Setup!$B$20)*Setup!$B$16)-SQRT(((Setup!$B$16*(SQRT(3)*((C9-Setup!$B$18)-Setup!$B$27)-(D9-Setup!$B$19)-Setup!$B$28))^2+(2*(E9-Setup!$B$20)*Setup!$B$16)^2-(((C9-Setup!$B$18)^2+(D9-Setup!$B$19)^2+(E9-Setup!$B$20)^2)+Setup!$B$27^2+Setup!$B$28^2+Setup!$B$16^2-2*(C9-Setup!$B$18)*Setup!$B$27+2*(D9-Setup!$B$19)*Setup!$B$28-Setup!$B$17^2)^2)))/((((C9-Setup!$B$18)^2+(D9-Setup!$B$19)^2+(E9-Setup!$B$20)^2)+Setup!$B$27^2+Setup!$B$28^2+Setup!$B$16^2-2*(C9-Setup!$B$18)*Setup!$B$27+2*(D9-Setup!$B$19)*Setup!$B$28-Setup!$B$17^2)-(Setup!$B$16*(SQRT(3)*((C9-Setup!$B$18)-Setup!$B$27)-(D9-Setup!$B$19)-Setup!$B$28))))))</f>
        <v>10.0645439782632</v>
      </c>
      <c r="H9" s="16" t="n">
        <f aca="false">IF(OR(E9="",((2*Setup!$B$16*((D9-Setup!$B$19)+Setup!$B$26))^2+(2*(E9-Setup!$B$20)*Setup!$B$16)^2-(((C9-Setup!$B$18)^2+(D9-Setup!$B$19)^2+(E9-Setup!$B$20)^2)+Setup!$B$26^2+Setup!$B$16^2+2*(D9-Setup!$B$19)*Setup!$B$26-Setup!$B$17^2)^2)&lt;0),"",DEGREES(2*ATAN((-(2*(E9-Setup!$B$20)*Setup!$B$16)-SQRT(((2*Setup!$B$16*((D9-Setup!$B$19)+Setup!$B$26))^2+(2*(E9-Setup!$B$20)*Setup!$B$16)^2-(((C9-Setup!$B$18)^2+(D9-Setup!$B$19)^2+(E9-Setup!$B$20)^2)+Setup!$B$26^2+Setup!$B$16^2+2*(D9-Setup!$B$19)*Setup!$B$26-Setup!$B$17^2)^2)))/((((C9-Setup!$B$18)^2+(D9-Setup!$B$19)^2+(E9-Setup!$B$20)^2)+Setup!$B$26^2+Setup!$B$16^2+2*(D9-Setup!$B$19)*Setup!$B$26-Setup!$B$17^2)-(2*Setup!$B$16*((D9-Setup!$B$19)+Setup!$B$26))))))</f>
        <v>10.0645439782632</v>
      </c>
      <c r="I9" s="17"/>
      <c r="J9" s="17"/>
      <c r="K9" s="17"/>
      <c r="L9" s="17"/>
      <c r="M9" s="17"/>
      <c r="N9" s="17"/>
      <c r="O9" s="18" t="str">
        <f aca="false">IF(OR(L9="",F9=""),"",L9-F9)</f>
        <v/>
      </c>
      <c r="P9" s="18" t="str">
        <f aca="false">IF(OR(M9="",G9=""),"",M9-G9)</f>
        <v/>
      </c>
      <c r="Q9" s="18" t="str">
        <f aca="false">IF(OR(N9="",H9=""),"",N9-H9)</f>
        <v/>
      </c>
      <c r="R9" s="11"/>
    </row>
    <row r="10" customFormat="false" ht="15" hidden="false" customHeight="false" outlineLevel="0" collapsed="false">
      <c r="A10" s="15" t="s">
        <v>104</v>
      </c>
      <c r="B10" s="15" t="n">
        <v>5</v>
      </c>
      <c r="C10" s="15" t="n">
        <v>0</v>
      </c>
      <c r="D10" s="15" t="n">
        <v>0</v>
      </c>
      <c r="E10" s="15" t="n">
        <v>-650</v>
      </c>
      <c r="F10" s="16" t="n">
        <f aca="false">IF(OR(E10="",((-Setup!$B$16*(SQRT(3)*((C10-Setup!$B$18)+Setup!$B$27)+(D10-Setup!$B$19)+Setup!$B$28))^2+(2*(E10-Setup!$B$20)*Setup!$B$16)^2-(((C10-Setup!$B$18)^2+(D10-Setup!$B$19)^2+(E10-Setup!$B$20)^2)+Setup!$B$27^2+Setup!$B$28^2+Setup!$B$16^2+2*(C10-Setup!$B$18)*Setup!$B$27+2*(D10-Setup!$B$19)*Setup!$B$28-Setup!$B$17^2)^2)&lt;0),"",DEGREES(2*ATAN((-(2*(E10-Setup!$B$20)*Setup!$B$16)-SQRT(((-Setup!$B$16*(SQRT(3)*((C10-Setup!$B$18)+Setup!$B$27)+(D10-Setup!$B$19)+Setup!$B$28))^2+(2*(E10-Setup!$B$20)*Setup!$B$16)^2-(((C10-Setup!$B$18)^2+(D10-Setup!$B$19)^2+(E10-Setup!$B$20)^2)+Setup!$B$27^2+Setup!$B$28^2+Setup!$B$16^2+2*(C10-Setup!$B$18)*Setup!$B$27+2*(D10-Setup!$B$19)*Setup!$B$28-Setup!$B$17^2)^2)))/((((C10-Setup!$B$18)^2+(D10-Setup!$B$19)^2+(E10-Setup!$B$20)^2)+Setup!$B$27^2+Setup!$B$28^2+Setup!$B$16^2+2*(C10-Setup!$B$18)*Setup!$B$27+2*(D10-Setup!$B$19)*Setup!$B$28-Setup!$B$17^2)-(-Setup!$B$16*(SQRT(3)*((C10-Setup!$B$18)+Setup!$B$27)+(D10-Setup!$B$19)+Setup!$B$28))))))</f>
        <v>10.0645439782632</v>
      </c>
      <c r="G10" s="16" t="n">
        <f aca="false">IF(OR(E10="",((Setup!$B$16*(SQRT(3)*((C10-Setup!$B$18)-Setup!$B$27)-(D10-Setup!$B$19)-Setup!$B$28))^2+(2*(E10-Setup!$B$20)*Setup!$B$16)^2-(((C10-Setup!$B$18)^2+(D10-Setup!$B$19)^2+(E10-Setup!$B$20)^2)+Setup!$B$27^2+Setup!$B$28^2+Setup!$B$16^2-2*(C10-Setup!$B$18)*Setup!$B$27+2*(D10-Setup!$B$19)*Setup!$B$28-Setup!$B$17^2)^2)&lt;0),"",DEGREES(2*ATAN((-(2*(E10-Setup!$B$20)*Setup!$B$16)-SQRT(((Setup!$B$16*(SQRT(3)*((C10-Setup!$B$18)-Setup!$B$27)-(D10-Setup!$B$19)-Setup!$B$28))^2+(2*(E10-Setup!$B$20)*Setup!$B$16)^2-(((C10-Setup!$B$18)^2+(D10-Setup!$B$19)^2+(E10-Setup!$B$20)^2)+Setup!$B$27^2+Setup!$B$28^2+Setup!$B$16^2-2*(C10-Setup!$B$18)*Setup!$B$27+2*(D10-Setup!$B$19)*Setup!$B$28-Setup!$B$17^2)^2)))/((((C10-Setup!$B$18)^2+(D10-Setup!$B$19)^2+(E10-Setup!$B$20)^2)+Setup!$B$27^2+Setup!$B$28^2+Setup!$B$16^2-2*(C10-Setup!$B$18)*Setup!$B$27+2*(D10-Setup!$B$19)*Setup!$B$28-Setup!$B$17^2)-(Setup!$B$16*(SQRT(3)*((C10-Setup!$B$18)-Setup!$B$27)-(D10-Setup!$B$19)-Setup!$B$28))))))</f>
        <v>10.0645439782632</v>
      </c>
      <c r="H10" s="16" t="n">
        <f aca="false">IF(OR(E10="",((2*Setup!$B$16*((D10-Setup!$B$19)+Setup!$B$26))^2+(2*(E10-Setup!$B$20)*Setup!$B$16)^2-(((C10-Setup!$B$18)^2+(D10-Setup!$B$19)^2+(E10-Setup!$B$20)^2)+Setup!$B$26^2+Setup!$B$16^2+2*(D10-Setup!$B$19)*Setup!$B$26-Setup!$B$17^2)^2)&lt;0),"",DEGREES(2*ATAN((-(2*(E10-Setup!$B$20)*Setup!$B$16)-SQRT(((2*Setup!$B$16*((D10-Setup!$B$19)+Setup!$B$26))^2+(2*(E10-Setup!$B$20)*Setup!$B$16)^2-(((C10-Setup!$B$18)^2+(D10-Setup!$B$19)^2+(E10-Setup!$B$20)^2)+Setup!$B$26^2+Setup!$B$16^2+2*(D10-Setup!$B$19)*Setup!$B$26-Setup!$B$17^2)^2)))/((((C10-Setup!$B$18)^2+(D10-Setup!$B$19)^2+(E10-Setup!$B$20)^2)+Setup!$B$26^2+Setup!$B$16^2+2*(D10-Setup!$B$19)*Setup!$B$26-Setup!$B$17^2)-(2*Setup!$B$16*((D10-Setup!$B$19)+Setup!$B$26))))))</f>
        <v>10.0645439782632</v>
      </c>
      <c r="I10" s="17"/>
      <c r="J10" s="17"/>
      <c r="K10" s="17"/>
      <c r="L10" s="17"/>
      <c r="M10" s="17"/>
      <c r="N10" s="17"/>
      <c r="O10" s="18" t="str">
        <f aca="false">IF(OR(L10="",F10=""),"",L10-F10)</f>
        <v/>
      </c>
      <c r="P10" s="18" t="str">
        <f aca="false">IF(OR(M10="",G10=""),"",M10-G10)</f>
        <v/>
      </c>
      <c r="Q10" s="18" t="str">
        <f aca="false">IF(OR(N10="",H10=""),"",N10-H10)</f>
        <v/>
      </c>
      <c r="R10" s="11"/>
    </row>
    <row r="11" customFormat="false" ht="15" hidden="false" customHeight="false" outlineLevel="0" collapsed="false">
      <c r="A11" s="15" t="s">
        <v>105</v>
      </c>
      <c r="B11" s="15" t="n">
        <v>6</v>
      </c>
      <c r="C11" s="15" t="n">
        <v>0</v>
      </c>
      <c r="D11" s="15" t="n">
        <v>0</v>
      </c>
      <c r="E11" s="15" t="n">
        <v>-650</v>
      </c>
      <c r="F11" s="16" t="n">
        <f aca="false">IF(OR(E11="",((-Setup!$B$16*(SQRT(3)*((C11-Setup!$B$18)+Setup!$B$27)+(D11-Setup!$B$19)+Setup!$B$28))^2+(2*(E11-Setup!$B$20)*Setup!$B$16)^2-(((C11-Setup!$B$18)^2+(D11-Setup!$B$19)^2+(E11-Setup!$B$20)^2)+Setup!$B$27^2+Setup!$B$28^2+Setup!$B$16^2+2*(C11-Setup!$B$18)*Setup!$B$27+2*(D11-Setup!$B$19)*Setup!$B$28-Setup!$B$17^2)^2)&lt;0),"",DEGREES(2*ATAN((-(2*(E11-Setup!$B$20)*Setup!$B$16)-SQRT(((-Setup!$B$16*(SQRT(3)*((C11-Setup!$B$18)+Setup!$B$27)+(D11-Setup!$B$19)+Setup!$B$28))^2+(2*(E11-Setup!$B$20)*Setup!$B$16)^2-(((C11-Setup!$B$18)^2+(D11-Setup!$B$19)^2+(E11-Setup!$B$20)^2)+Setup!$B$27^2+Setup!$B$28^2+Setup!$B$16^2+2*(C11-Setup!$B$18)*Setup!$B$27+2*(D11-Setup!$B$19)*Setup!$B$28-Setup!$B$17^2)^2)))/((((C11-Setup!$B$18)^2+(D11-Setup!$B$19)^2+(E11-Setup!$B$20)^2)+Setup!$B$27^2+Setup!$B$28^2+Setup!$B$16^2+2*(C11-Setup!$B$18)*Setup!$B$27+2*(D11-Setup!$B$19)*Setup!$B$28-Setup!$B$17^2)-(-Setup!$B$16*(SQRT(3)*((C11-Setup!$B$18)+Setup!$B$27)+(D11-Setup!$B$19)+Setup!$B$28))))))</f>
        <v>10.0645439782632</v>
      </c>
      <c r="G11" s="16" t="n">
        <f aca="false">IF(OR(E11="",((Setup!$B$16*(SQRT(3)*((C11-Setup!$B$18)-Setup!$B$27)-(D11-Setup!$B$19)-Setup!$B$28))^2+(2*(E11-Setup!$B$20)*Setup!$B$16)^2-(((C11-Setup!$B$18)^2+(D11-Setup!$B$19)^2+(E11-Setup!$B$20)^2)+Setup!$B$27^2+Setup!$B$28^2+Setup!$B$16^2-2*(C11-Setup!$B$18)*Setup!$B$27+2*(D11-Setup!$B$19)*Setup!$B$28-Setup!$B$17^2)^2)&lt;0),"",DEGREES(2*ATAN((-(2*(E11-Setup!$B$20)*Setup!$B$16)-SQRT(((Setup!$B$16*(SQRT(3)*((C11-Setup!$B$18)-Setup!$B$27)-(D11-Setup!$B$19)-Setup!$B$28))^2+(2*(E11-Setup!$B$20)*Setup!$B$16)^2-(((C11-Setup!$B$18)^2+(D11-Setup!$B$19)^2+(E11-Setup!$B$20)^2)+Setup!$B$27^2+Setup!$B$28^2+Setup!$B$16^2-2*(C11-Setup!$B$18)*Setup!$B$27+2*(D11-Setup!$B$19)*Setup!$B$28-Setup!$B$17^2)^2)))/((((C11-Setup!$B$18)^2+(D11-Setup!$B$19)^2+(E11-Setup!$B$20)^2)+Setup!$B$27^2+Setup!$B$28^2+Setup!$B$16^2-2*(C11-Setup!$B$18)*Setup!$B$27+2*(D11-Setup!$B$19)*Setup!$B$28-Setup!$B$17^2)-(Setup!$B$16*(SQRT(3)*((C11-Setup!$B$18)-Setup!$B$27)-(D11-Setup!$B$19)-Setup!$B$28))))))</f>
        <v>10.0645439782632</v>
      </c>
      <c r="H11" s="16" t="n">
        <f aca="false">IF(OR(E11="",((2*Setup!$B$16*((D11-Setup!$B$19)+Setup!$B$26))^2+(2*(E11-Setup!$B$20)*Setup!$B$16)^2-(((C11-Setup!$B$18)^2+(D11-Setup!$B$19)^2+(E11-Setup!$B$20)^2)+Setup!$B$26^2+Setup!$B$16^2+2*(D11-Setup!$B$19)*Setup!$B$26-Setup!$B$17^2)^2)&lt;0),"",DEGREES(2*ATAN((-(2*(E11-Setup!$B$20)*Setup!$B$16)-SQRT(((2*Setup!$B$16*((D11-Setup!$B$19)+Setup!$B$26))^2+(2*(E11-Setup!$B$20)*Setup!$B$16)^2-(((C11-Setup!$B$18)^2+(D11-Setup!$B$19)^2+(E11-Setup!$B$20)^2)+Setup!$B$26^2+Setup!$B$16^2+2*(D11-Setup!$B$19)*Setup!$B$26-Setup!$B$17^2)^2)))/((((C11-Setup!$B$18)^2+(D11-Setup!$B$19)^2+(E11-Setup!$B$20)^2)+Setup!$B$26^2+Setup!$B$16^2+2*(D11-Setup!$B$19)*Setup!$B$26-Setup!$B$17^2)-(2*Setup!$B$16*((D11-Setup!$B$19)+Setup!$B$26))))))</f>
        <v>10.0645439782632</v>
      </c>
      <c r="I11" s="17"/>
      <c r="J11" s="17"/>
      <c r="K11" s="17"/>
      <c r="L11" s="17"/>
      <c r="M11" s="17"/>
      <c r="N11" s="17"/>
      <c r="O11" s="18" t="str">
        <f aca="false">IF(OR(L11="",F11=""),"",L11-F11)</f>
        <v/>
      </c>
      <c r="P11" s="18" t="str">
        <f aca="false">IF(OR(M11="",G11=""),"",M11-G11)</f>
        <v/>
      </c>
      <c r="Q11" s="18" t="str">
        <f aca="false">IF(OR(N11="",H11=""),"",N11-H11)</f>
        <v/>
      </c>
      <c r="R11" s="11"/>
    </row>
    <row r="12" customFormat="false" ht="15" hidden="false" customHeight="false" outlineLevel="0" collapsed="false">
      <c r="A12" s="15" t="s">
        <v>103</v>
      </c>
      <c r="B12" s="15" t="n">
        <v>7</v>
      </c>
      <c r="C12" s="15" t="n">
        <v>0</v>
      </c>
      <c r="D12" s="15" t="n">
        <v>0</v>
      </c>
      <c r="E12" s="15" t="n">
        <v>-590</v>
      </c>
      <c r="F12" s="16" t="n">
        <f aca="false">IF(OR(E12="",((-Setup!$B$16*(SQRT(3)*((C12-Setup!$B$18)+Setup!$B$27)+(D12-Setup!$B$19)+Setup!$B$28))^2+(2*(E12-Setup!$B$20)*Setup!$B$16)^2-(((C12-Setup!$B$18)^2+(D12-Setup!$B$19)^2+(E12-Setup!$B$20)^2)+Setup!$B$27^2+Setup!$B$28^2+Setup!$B$16^2+2*(C12-Setup!$B$18)*Setup!$B$27+2*(D12-Setup!$B$19)*Setup!$B$28-Setup!$B$17^2)^2)&lt;0),"",DEGREES(2*ATAN((-(2*(E12-Setup!$B$20)*Setup!$B$16)-SQRT(((-Setup!$B$16*(SQRT(3)*((C12-Setup!$B$18)+Setup!$B$27)+(D12-Setup!$B$19)+Setup!$B$28))^2+(2*(E12-Setup!$B$20)*Setup!$B$16)^2-(((C12-Setup!$B$18)^2+(D12-Setup!$B$19)^2+(E12-Setup!$B$20)^2)+Setup!$B$27^2+Setup!$B$28^2+Setup!$B$16^2+2*(C12-Setup!$B$18)*Setup!$B$27+2*(D12-Setup!$B$19)*Setup!$B$28-Setup!$B$17^2)^2)))/((((C12-Setup!$B$18)^2+(D12-Setup!$B$19)^2+(E12-Setup!$B$20)^2)+Setup!$B$27^2+Setup!$B$28^2+Setup!$B$16^2+2*(C12-Setup!$B$18)*Setup!$B$27+2*(D12-Setup!$B$19)*Setup!$B$28-Setup!$B$17^2)-(-Setup!$B$16*(SQRT(3)*((C12-Setup!$B$18)+Setup!$B$27)+(D12-Setup!$B$19)+Setup!$B$28))))))</f>
        <v>-9.41859356991373</v>
      </c>
      <c r="G12" s="16" t="n">
        <f aca="false">IF(OR(E12="",((Setup!$B$16*(SQRT(3)*((C12-Setup!$B$18)-Setup!$B$27)-(D12-Setup!$B$19)-Setup!$B$28))^2+(2*(E12-Setup!$B$20)*Setup!$B$16)^2-(((C12-Setup!$B$18)^2+(D12-Setup!$B$19)^2+(E12-Setup!$B$20)^2)+Setup!$B$27^2+Setup!$B$28^2+Setup!$B$16^2-2*(C12-Setup!$B$18)*Setup!$B$27+2*(D12-Setup!$B$19)*Setup!$B$28-Setup!$B$17^2)^2)&lt;0),"",DEGREES(2*ATAN((-(2*(E12-Setup!$B$20)*Setup!$B$16)-SQRT(((Setup!$B$16*(SQRT(3)*((C12-Setup!$B$18)-Setup!$B$27)-(D12-Setup!$B$19)-Setup!$B$28))^2+(2*(E12-Setup!$B$20)*Setup!$B$16)^2-(((C12-Setup!$B$18)^2+(D12-Setup!$B$19)^2+(E12-Setup!$B$20)^2)+Setup!$B$27^2+Setup!$B$28^2+Setup!$B$16^2-2*(C12-Setup!$B$18)*Setup!$B$27+2*(D12-Setup!$B$19)*Setup!$B$28-Setup!$B$17^2)^2)))/((((C12-Setup!$B$18)^2+(D12-Setup!$B$19)^2+(E12-Setup!$B$20)^2)+Setup!$B$27^2+Setup!$B$28^2+Setup!$B$16^2-2*(C12-Setup!$B$18)*Setup!$B$27+2*(D12-Setup!$B$19)*Setup!$B$28-Setup!$B$17^2)-(Setup!$B$16*(SQRT(3)*((C12-Setup!$B$18)-Setup!$B$27)-(D12-Setup!$B$19)-Setup!$B$28))))))</f>
        <v>-9.41859356991373</v>
      </c>
      <c r="H12" s="16" t="n">
        <f aca="false">IF(OR(E12="",((2*Setup!$B$16*((D12-Setup!$B$19)+Setup!$B$26))^2+(2*(E12-Setup!$B$20)*Setup!$B$16)^2-(((C12-Setup!$B$18)^2+(D12-Setup!$B$19)^2+(E12-Setup!$B$20)^2)+Setup!$B$26^2+Setup!$B$16^2+2*(D12-Setup!$B$19)*Setup!$B$26-Setup!$B$17^2)^2)&lt;0),"",DEGREES(2*ATAN((-(2*(E12-Setup!$B$20)*Setup!$B$16)-SQRT(((2*Setup!$B$16*((D12-Setup!$B$19)+Setup!$B$26))^2+(2*(E12-Setup!$B$20)*Setup!$B$16)^2-(((C12-Setup!$B$18)^2+(D12-Setup!$B$19)^2+(E12-Setup!$B$20)^2)+Setup!$B$26^2+Setup!$B$16^2+2*(D12-Setup!$B$19)*Setup!$B$26-Setup!$B$17^2)^2)))/((((C12-Setup!$B$18)^2+(D12-Setup!$B$19)^2+(E12-Setup!$B$20)^2)+Setup!$B$26^2+Setup!$B$16^2+2*(D12-Setup!$B$19)*Setup!$B$26-Setup!$B$17^2)-(2*Setup!$B$16*((D12-Setup!$B$19)+Setup!$B$26))))))</f>
        <v>-9.41859356991373</v>
      </c>
      <c r="I12" s="17"/>
      <c r="J12" s="17"/>
      <c r="K12" s="17"/>
      <c r="L12" s="17"/>
      <c r="M12" s="17"/>
      <c r="N12" s="17"/>
      <c r="O12" s="18" t="str">
        <f aca="false">IF(OR(L12="",F12=""),"",L12-F12)</f>
        <v/>
      </c>
      <c r="P12" s="18" t="str">
        <f aca="false">IF(OR(M12="",G12=""),"",M12-G12)</f>
        <v/>
      </c>
      <c r="Q12" s="18" t="str">
        <f aca="false">IF(OR(N12="",H12=""),"",N12-H12)</f>
        <v/>
      </c>
      <c r="R12" s="11"/>
    </row>
    <row r="13" customFormat="false" ht="15" hidden="false" customHeight="false" outlineLevel="0" collapsed="false">
      <c r="A13" s="15" t="s">
        <v>104</v>
      </c>
      <c r="B13" s="15" t="n">
        <v>8</v>
      </c>
      <c r="C13" s="15" t="n">
        <v>0</v>
      </c>
      <c r="D13" s="15" t="n">
        <v>0</v>
      </c>
      <c r="E13" s="15" t="n">
        <v>-590</v>
      </c>
      <c r="F13" s="16" t="n">
        <f aca="false">IF(OR(E13="",((-Setup!$B$16*(SQRT(3)*((C13-Setup!$B$18)+Setup!$B$27)+(D13-Setup!$B$19)+Setup!$B$28))^2+(2*(E13-Setup!$B$20)*Setup!$B$16)^2-(((C13-Setup!$B$18)^2+(D13-Setup!$B$19)^2+(E13-Setup!$B$20)^2)+Setup!$B$27^2+Setup!$B$28^2+Setup!$B$16^2+2*(C13-Setup!$B$18)*Setup!$B$27+2*(D13-Setup!$B$19)*Setup!$B$28-Setup!$B$17^2)^2)&lt;0),"",DEGREES(2*ATAN((-(2*(E13-Setup!$B$20)*Setup!$B$16)-SQRT(((-Setup!$B$16*(SQRT(3)*((C13-Setup!$B$18)+Setup!$B$27)+(D13-Setup!$B$19)+Setup!$B$28))^2+(2*(E13-Setup!$B$20)*Setup!$B$16)^2-(((C13-Setup!$B$18)^2+(D13-Setup!$B$19)^2+(E13-Setup!$B$20)^2)+Setup!$B$27^2+Setup!$B$28^2+Setup!$B$16^2+2*(C13-Setup!$B$18)*Setup!$B$27+2*(D13-Setup!$B$19)*Setup!$B$28-Setup!$B$17^2)^2)))/((((C13-Setup!$B$18)^2+(D13-Setup!$B$19)^2+(E13-Setup!$B$20)^2)+Setup!$B$27^2+Setup!$B$28^2+Setup!$B$16^2+2*(C13-Setup!$B$18)*Setup!$B$27+2*(D13-Setup!$B$19)*Setup!$B$28-Setup!$B$17^2)-(-Setup!$B$16*(SQRT(3)*((C13-Setup!$B$18)+Setup!$B$27)+(D13-Setup!$B$19)+Setup!$B$28))))))</f>
        <v>-9.41859356991373</v>
      </c>
      <c r="G13" s="16" t="n">
        <f aca="false">IF(OR(E13="",((Setup!$B$16*(SQRT(3)*((C13-Setup!$B$18)-Setup!$B$27)-(D13-Setup!$B$19)-Setup!$B$28))^2+(2*(E13-Setup!$B$20)*Setup!$B$16)^2-(((C13-Setup!$B$18)^2+(D13-Setup!$B$19)^2+(E13-Setup!$B$20)^2)+Setup!$B$27^2+Setup!$B$28^2+Setup!$B$16^2-2*(C13-Setup!$B$18)*Setup!$B$27+2*(D13-Setup!$B$19)*Setup!$B$28-Setup!$B$17^2)^2)&lt;0),"",DEGREES(2*ATAN((-(2*(E13-Setup!$B$20)*Setup!$B$16)-SQRT(((Setup!$B$16*(SQRT(3)*((C13-Setup!$B$18)-Setup!$B$27)-(D13-Setup!$B$19)-Setup!$B$28))^2+(2*(E13-Setup!$B$20)*Setup!$B$16)^2-(((C13-Setup!$B$18)^2+(D13-Setup!$B$19)^2+(E13-Setup!$B$20)^2)+Setup!$B$27^2+Setup!$B$28^2+Setup!$B$16^2-2*(C13-Setup!$B$18)*Setup!$B$27+2*(D13-Setup!$B$19)*Setup!$B$28-Setup!$B$17^2)^2)))/((((C13-Setup!$B$18)^2+(D13-Setup!$B$19)^2+(E13-Setup!$B$20)^2)+Setup!$B$27^2+Setup!$B$28^2+Setup!$B$16^2-2*(C13-Setup!$B$18)*Setup!$B$27+2*(D13-Setup!$B$19)*Setup!$B$28-Setup!$B$17^2)-(Setup!$B$16*(SQRT(3)*((C13-Setup!$B$18)-Setup!$B$27)-(D13-Setup!$B$19)-Setup!$B$28))))))</f>
        <v>-9.41859356991373</v>
      </c>
      <c r="H13" s="16" t="n">
        <f aca="false">IF(OR(E13="",((2*Setup!$B$16*((D13-Setup!$B$19)+Setup!$B$26))^2+(2*(E13-Setup!$B$20)*Setup!$B$16)^2-(((C13-Setup!$B$18)^2+(D13-Setup!$B$19)^2+(E13-Setup!$B$20)^2)+Setup!$B$26^2+Setup!$B$16^2+2*(D13-Setup!$B$19)*Setup!$B$26-Setup!$B$17^2)^2)&lt;0),"",DEGREES(2*ATAN((-(2*(E13-Setup!$B$20)*Setup!$B$16)-SQRT(((2*Setup!$B$16*((D13-Setup!$B$19)+Setup!$B$26))^2+(2*(E13-Setup!$B$20)*Setup!$B$16)^2-(((C13-Setup!$B$18)^2+(D13-Setup!$B$19)^2+(E13-Setup!$B$20)^2)+Setup!$B$26^2+Setup!$B$16^2+2*(D13-Setup!$B$19)*Setup!$B$26-Setup!$B$17^2)^2)))/((((C13-Setup!$B$18)^2+(D13-Setup!$B$19)^2+(E13-Setup!$B$20)^2)+Setup!$B$26^2+Setup!$B$16^2+2*(D13-Setup!$B$19)*Setup!$B$26-Setup!$B$17^2)-(2*Setup!$B$16*((D13-Setup!$B$19)+Setup!$B$26))))))</f>
        <v>-9.41859356991373</v>
      </c>
      <c r="I13" s="17"/>
      <c r="J13" s="17"/>
      <c r="K13" s="17"/>
      <c r="L13" s="17"/>
      <c r="M13" s="17"/>
      <c r="N13" s="17"/>
      <c r="O13" s="18" t="str">
        <f aca="false">IF(OR(L13="",F13=""),"",L13-F13)</f>
        <v/>
      </c>
      <c r="P13" s="18" t="str">
        <f aca="false">IF(OR(M13="",G13=""),"",M13-G13)</f>
        <v/>
      </c>
      <c r="Q13" s="18" t="str">
        <f aca="false">IF(OR(N13="",H13=""),"",N13-H13)</f>
        <v/>
      </c>
      <c r="R13" s="11"/>
    </row>
    <row r="14" customFormat="false" ht="15" hidden="false" customHeight="false" outlineLevel="0" collapsed="false">
      <c r="A14" s="15" t="s">
        <v>105</v>
      </c>
      <c r="B14" s="15" t="n">
        <v>9</v>
      </c>
      <c r="C14" s="15" t="n">
        <v>0</v>
      </c>
      <c r="D14" s="15" t="n">
        <v>0</v>
      </c>
      <c r="E14" s="15" t="n">
        <v>-590</v>
      </c>
      <c r="F14" s="16" t="n">
        <f aca="false">IF(OR(E14="",((-Setup!$B$16*(SQRT(3)*((C14-Setup!$B$18)+Setup!$B$27)+(D14-Setup!$B$19)+Setup!$B$28))^2+(2*(E14-Setup!$B$20)*Setup!$B$16)^2-(((C14-Setup!$B$18)^2+(D14-Setup!$B$19)^2+(E14-Setup!$B$20)^2)+Setup!$B$27^2+Setup!$B$28^2+Setup!$B$16^2+2*(C14-Setup!$B$18)*Setup!$B$27+2*(D14-Setup!$B$19)*Setup!$B$28-Setup!$B$17^2)^2)&lt;0),"",DEGREES(2*ATAN((-(2*(E14-Setup!$B$20)*Setup!$B$16)-SQRT(((-Setup!$B$16*(SQRT(3)*((C14-Setup!$B$18)+Setup!$B$27)+(D14-Setup!$B$19)+Setup!$B$28))^2+(2*(E14-Setup!$B$20)*Setup!$B$16)^2-(((C14-Setup!$B$18)^2+(D14-Setup!$B$19)^2+(E14-Setup!$B$20)^2)+Setup!$B$27^2+Setup!$B$28^2+Setup!$B$16^2+2*(C14-Setup!$B$18)*Setup!$B$27+2*(D14-Setup!$B$19)*Setup!$B$28-Setup!$B$17^2)^2)))/((((C14-Setup!$B$18)^2+(D14-Setup!$B$19)^2+(E14-Setup!$B$20)^2)+Setup!$B$27^2+Setup!$B$28^2+Setup!$B$16^2+2*(C14-Setup!$B$18)*Setup!$B$27+2*(D14-Setup!$B$19)*Setup!$B$28-Setup!$B$17^2)-(-Setup!$B$16*(SQRT(3)*((C14-Setup!$B$18)+Setup!$B$27)+(D14-Setup!$B$19)+Setup!$B$28))))))</f>
        <v>-9.41859356991373</v>
      </c>
      <c r="G14" s="16" t="n">
        <f aca="false">IF(OR(E14="",((Setup!$B$16*(SQRT(3)*((C14-Setup!$B$18)-Setup!$B$27)-(D14-Setup!$B$19)-Setup!$B$28))^2+(2*(E14-Setup!$B$20)*Setup!$B$16)^2-(((C14-Setup!$B$18)^2+(D14-Setup!$B$19)^2+(E14-Setup!$B$20)^2)+Setup!$B$27^2+Setup!$B$28^2+Setup!$B$16^2-2*(C14-Setup!$B$18)*Setup!$B$27+2*(D14-Setup!$B$19)*Setup!$B$28-Setup!$B$17^2)^2)&lt;0),"",DEGREES(2*ATAN((-(2*(E14-Setup!$B$20)*Setup!$B$16)-SQRT(((Setup!$B$16*(SQRT(3)*((C14-Setup!$B$18)-Setup!$B$27)-(D14-Setup!$B$19)-Setup!$B$28))^2+(2*(E14-Setup!$B$20)*Setup!$B$16)^2-(((C14-Setup!$B$18)^2+(D14-Setup!$B$19)^2+(E14-Setup!$B$20)^2)+Setup!$B$27^2+Setup!$B$28^2+Setup!$B$16^2-2*(C14-Setup!$B$18)*Setup!$B$27+2*(D14-Setup!$B$19)*Setup!$B$28-Setup!$B$17^2)^2)))/((((C14-Setup!$B$18)^2+(D14-Setup!$B$19)^2+(E14-Setup!$B$20)^2)+Setup!$B$27^2+Setup!$B$28^2+Setup!$B$16^2-2*(C14-Setup!$B$18)*Setup!$B$27+2*(D14-Setup!$B$19)*Setup!$B$28-Setup!$B$17^2)-(Setup!$B$16*(SQRT(3)*((C14-Setup!$B$18)-Setup!$B$27)-(D14-Setup!$B$19)-Setup!$B$28))))))</f>
        <v>-9.41859356991373</v>
      </c>
      <c r="H14" s="16" t="n">
        <f aca="false">IF(OR(E14="",((2*Setup!$B$16*((D14-Setup!$B$19)+Setup!$B$26))^2+(2*(E14-Setup!$B$20)*Setup!$B$16)^2-(((C14-Setup!$B$18)^2+(D14-Setup!$B$19)^2+(E14-Setup!$B$20)^2)+Setup!$B$26^2+Setup!$B$16^2+2*(D14-Setup!$B$19)*Setup!$B$26-Setup!$B$17^2)^2)&lt;0),"",DEGREES(2*ATAN((-(2*(E14-Setup!$B$20)*Setup!$B$16)-SQRT(((2*Setup!$B$16*((D14-Setup!$B$19)+Setup!$B$26))^2+(2*(E14-Setup!$B$20)*Setup!$B$16)^2-(((C14-Setup!$B$18)^2+(D14-Setup!$B$19)^2+(E14-Setup!$B$20)^2)+Setup!$B$26^2+Setup!$B$16^2+2*(D14-Setup!$B$19)*Setup!$B$26-Setup!$B$17^2)^2)))/((((C14-Setup!$B$18)^2+(D14-Setup!$B$19)^2+(E14-Setup!$B$20)^2)+Setup!$B$26^2+Setup!$B$16^2+2*(D14-Setup!$B$19)*Setup!$B$26-Setup!$B$17^2)-(2*Setup!$B$16*((D14-Setup!$B$19)+Setup!$B$26))))))</f>
        <v>-9.41859356991373</v>
      </c>
      <c r="I14" s="17"/>
      <c r="J14" s="17"/>
      <c r="K14" s="17"/>
      <c r="L14" s="17"/>
      <c r="M14" s="17"/>
      <c r="N14" s="17"/>
      <c r="O14" s="18" t="str">
        <f aca="false">IF(OR(L14="",F14=""),"",L14-F14)</f>
        <v/>
      </c>
      <c r="P14" s="18" t="str">
        <f aca="false">IF(OR(M14="",G14=""),"",M14-G14)</f>
        <v/>
      </c>
      <c r="Q14" s="18" t="str">
        <f aca="false">IF(OR(N14="",H14=""),"",N14-H14)</f>
        <v/>
      </c>
      <c r="R14" s="11"/>
    </row>
  </sheetData>
  <conditionalFormatting sqref="I6:K14">
    <cfRule type="expression" priority="2" aboveAverage="0" equalAverage="0" bottom="0" percent="0" rank="0" text="" dxfId="0">
      <formula>AND(ISNUMBER(I6),ISNUMBER(F6),ABS(I6-F6)&gt;0.2)</formula>
    </cfRule>
  </conditionalFormatting>
  <conditionalFormatting sqref="O6:Q14">
    <cfRule type="expression" priority="3" aboveAverage="0" equalAverage="0" bottom="0" percent="0" rank="0" text="" dxfId="0">
      <formula>AND(ISNUMBER(O6),ABS(O6)&gt;1)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14" min="6" style="0" width="11"/>
    <col collapsed="false" customWidth="true" hidden="false" outlineLevel="0" max="17" min="15" style="0" width="10"/>
    <col collapsed="false" customWidth="true" hidden="false" outlineLevel="0" max="18" min="18" style="0" width="30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6" t="s">
        <v>107</v>
      </c>
    </row>
    <row r="3" customFormat="false" ht="15" hidden="false" customHeight="false" outlineLevel="0" collapsed="false">
      <c r="A3" s="12" t="s">
        <v>97</v>
      </c>
    </row>
    <row r="5" customFormat="false" ht="31.5" hidden="false" customHeight="true" outlineLevel="0" collapsed="false">
      <c r="A5" s="8" t="s">
        <v>108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8" t="s">
        <v>42</v>
      </c>
      <c r="I5" s="8" t="s">
        <v>43</v>
      </c>
      <c r="J5" s="8" t="s">
        <v>44</v>
      </c>
      <c r="K5" s="8" t="s">
        <v>45</v>
      </c>
      <c r="L5" s="8" t="s">
        <v>46</v>
      </c>
      <c r="M5" s="8" t="s">
        <v>47</v>
      </c>
      <c r="N5" s="8" t="s">
        <v>48</v>
      </c>
      <c r="O5" s="8" t="s">
        <v>49</v>
      </c>
      <c r="P5" s="8" t="s">
        <v>50</v>
      </c>
      <c r="Q5" s="8" t="s">
        <v>51</v>
      </c>
      <c r="R5" s="8" t="s">
        <v>98</v>
      </c>
    </row>
    <row r="6" customFormat="false" ht="15" hidden="false" customHeight="false" outlineLevel="0" collapsed="false">
      <c r="A6" s="15" t="s">
        <v>109</v>
      </c>
      <c r="B6" s="15" t="n">
        <v>1</v>
      </c>
      <c r="C6" s="15" t="n">
        <v>0</v>
      </c>
      <c r="D6" s="15" t="n">
        <v>0</v>
      </c>
      <c r="E6" s="15" t="n">
        <v>-650</v>
      </c>
      <c r="F6" s="16" t="n">
        <f aca="false">IF(OR(E6="",((-Setup!$B$16*(SQRT(3)*((C6-Setup!$B$18)+Setup!$B$27)+(D6-Setup!$B$19)+Setup!$B$28))^2+(2*(E6-Setup!$B$20)*Setup!$B$16)^2-(((C6-Setup!$B$18)^2+(D6-Setup!$B$19)^2+(E6-Setup!$B$20)^2)+Setup!$B$27^2+Setup!$B$28^2+Setup!$B$16^2+2*(C6-Setup!$B$18)*Setup!$B$27+2*(D6-Setup!$B$19)*Setup!$B$28-Setup!$B$17^2)^2)&lt;0),"",DEGREES(2*ATAN((-(2*(E6-Setup!$B$20)*Setup!$B$16)-SQRT(((-Setup!$B$16*(SQRT(3)*((C6-Setup!$B$18)+Setup!$B$27)+(D6-Setup!$B$19)+Setup!$B$28))^2+(2*(E6-Setup!$B$20)*Setup!$B$16)^2-(((C6-Setup!$B$18)^2+(D6-Setup!$B$19)^2+(E6-Setup!$B$20)^2)+Setup!$B$27^2+Setup!$B$28^2+Setup!$B$16^2+2*(C6-Setup!$B$18)*Setup!$B$27+2*(D6-Setup!$B$19)*Setup!$B$28-Setup!$B$17^2)^2)))/((((C6-Setup!$B$18)^2+(D6-Setup!$B$19)^2+(E6-Setup!$B$20)^2)+Setup!$B$27^2+Setup!$B$28^2+Setup!$B$16^2+2*(C6-Setup!$B$18)*Setup!$B$27+2*(D6-Setup!$B$19)*Setup!$B$28-Setup!$B$17^2)-(-Setup!$B$16*(SQRT(3)*((C6-Setup!$B$18)+Setup!$B$27)+(D6-Setup!$B$19)+Setup!$B$28))))))</f>
        <v>10.0645439782632</v>
      </c>
      <c r="G6" s="16" t="n">
        <f aca="false">IF(OR(E6="",((Setup!$B$16*(SQRT(3)*((C6-Setup!$B$18)-Setup!$B$27)-(D6-Setup!$B$19)-Setup!$B$28))^2+(2*(E6-Setup!$B$20)*Setup!$B$16)^2-(((C6-Setup!$B$18)^2+(D6-Setup!$B$19)^2+(E6-Setup!$B$20)^2)+Setup!$B$27^2+Setup!$B$28^2+Setup!$B$16^2-2*(C6-Setup!$B$18)*Setup!$B$27+2*(D6-Setup!$B$19)*Setup!$B$28-Setup!$B$17^2)^2)&lt;0),"",DEGREES(2*ATAN((-(2*(E6-Setup!$B$20)*Setup!$B$16)-SQRT(((Setup!$B$16*(SQRT(3)*((C6-Setup!$B$18)-Setup!$B$27)-(D6-Setup!$B$19)-Setup!$B$28))^2+(2*(E6-Setup!$B$20)*Setup!$B$16)^2-(((C6-Setup!$B$18)^2+(D6-Setup!$B$19)^2+(E6-Setup!$B$20)^2)+Setup!$B$27^2+Setup!$B$28^2+Setup!$B$16^2-2*(C6-Setup!$B$18)*Setup!$B$27+2*(D6-Setup!$B$19)*Setup!$B$28-Setup!$B$17^2)^2)))/((((C6-Setup!$B$18)^2+(D6-Setup!$B$19)^2+(E6-Setup!$B$20)^2)+Setup!$B$27^2+Setup!$B$28^2+Setup!$B$16^2-2*(C6-Setup!$B$18)*Setup!$B$27+2*(D6-Setup!$B$19)*Setup!$B$28-Setup!$B$17^2)-(Setup!$B$16*(SQRT(3)*((C6-Setup!$B$18)-Setup!$B$27)-(D6-Setup!$B$19)-Setup!$B$28))))))</f>
        <v>10.0645439782632</v>
      </c>
      <c r="H6" s="16" t="n">
        <f aca="false">IF(OR(E6="",((2*Setup!$B$16*((D6-Setup!$B$19)+Setup!$B$26))^2+(2*(E6-Setup!$B$20)*Setup!$B$16)^2-(((C6-Setup!$B$18)^2+(D6-Setup!$B$19)^2+(E6-Setup!$B$20)^2)+Setup!$B$26^2+Setup!$B$16^2+2*(D6-Setup!$B$19)*Setup!$B$26-Setup!$B$17^2)^2)&lt;0),"",DEGREES(2*ATAN((-(2*(E6-Setup!$B$20)*Setup!$B$16)-SQRT(((2*Setup!$B$16*((D6-Setup!$B$19)+Setup!$B$26))^2+(2*(E6-Setup!$B$20)*Setup!$B$16)^2-(((C6-Setup!$B$18)^2+(D6-Setup!$B$19)^2+(E6-Setup!$B$20)^2)+Setup!$B$26^2+Setup!$B$16^2+2*(D6-Setup!$B$19)*Setup!$B$26-Setup!$B$17^2)^2)))/((((C6-Setup!$B$18)^2+(D6-Setup!$B$19)^2+(E6-Setup!$B$20)^2)+Setup!$B$26^2+Setup!$B$16^2+2*(D6-Setup!$B$19)*Setup!$B$26-Setup!$B$17^2)-(2*Setup!$B$16*((D6-Setup!$B$19)+Setup!$B$26))))))</f>
        <v>10.0645439782632</v>
      </c>
      <c r="I6" s="17"/>
      <c r="J6" s="17"/>
      <c r="K6" s="17"/>
      <c r="L6" s="17"/>
      <c r="M6" s="17"/>
      <c r="N6" s="17"/>
      <c r="O6" s="18" t="str">
        <f aca="false">IF(OR(L6="",F6=""),"",L6-F6)</f>
        <v/>
      </c>
      <c r="P6" s="18" t="str">
        <f aca="false">IF(OR(M6="",G6=""),"",M6-G6)</f>
        <v/>
      </c>
      <c r="Q6" s="18" t="str">
        <f aca="false">IF(OR(N6="",H6=""),"",N6-H6)</f>
        <v/>
      </c>
      <c r="R6" s="11"/>
    </row>
    <row r="7" customFormat="false" ht="15" hidden="false" customHeight="false" outlineLevel="0" collapsed="false">
      <c r="A7" s="15" t="s">
        <v>110</v>
      </c>
      <c r="B7" s="15" t="n">
        <v>2</v>
      </c>
      <c r="C7" s="15" t="n">
        <v>60</v>
      </c>
      <c r="D7" s="15" t="n">
        <v>0</v>
      </c>
      <c r="E7" s="15" t="n">
        <v>-650</v>
      </c>
      <c r="F7" s="16" t="n">
        <f aca="false">IF(OR(E7="",((-Setup!$B$16*(SQRT(3)*((C7-Setup!$B$18)+Setup!$B$27)+(D7-Setup!$B$19)+Setup!$B$28))^2+(2*(E7-Setup!$B$20)*Setup!$B$16)^2-(((C7-Setup!$B$18)^2+(D7-Setup!$B$19)^2+(E7-Setup!$B$20)^2)+Setup!$B$27^2+Setup!$B$28^2+Setup!$B$16^2+2*(C7-Setup!$B$18)*Setup!$B$27+2*(D7-Setup!$B$19)*Setup!$B$28-Setup!$B$17^2)^2)&lt;0),"",DEGREES(2*ATAN((-(2*(E7-Setup!$B$20)*Setup!$B$16)-SQRT(((-Setup!$B$16*(SQRT(3)*((C7-Setup!$B$18)+Setup!$B$27)+(D7-Setup!$B$19)+Setup!$B$28))^2+(2*(E7-Setup!$B$20)*Setup!$B$16)^2-(((C7-Setup!$B$18)^2+(D7-Setup!$B$19)^2+(E7-Setup!$B$20)^2)+Setup!$B$27^2+Setup!$B$28^2+Setup!$B$16^2+2*(C7-Setup!$B$18)*Setup!$B$27+2*(D7-Setup!$B$19)*Setup!$B$28-Setup!$B$17^2)^2)))/((((C7-Setup!$B$18)^2+(D7-Setup!$B$19)^2+(E7-Setup!$B$20)^2)+Setup!$B$27^2+Setup!$B$28^2+Setup!$B$16^2+2*(C7-Setup!$B$18)*Setup!$B$27+2*(D7-Setup!$B$19)*Setup!$B$28-Setup!$B$17^2)-(-Setup!$B$16*(SQRT(3)*((C7-Setup!$B$18)+Setup!$B$27)+(D7-Setup!$B$19)+Setup!$B$28))))))</f>
        <v>6.05717686980213</v>
      </c>
      <c r="G7" s="16" t="n">
        <f aca="false">IF(OR(E7="",((Setup!$B$16*(SQRT(3)*((C7-Setup!$B$18)-Setup!$B$27)-(D7-Setup!$B$19)-Setup!$B$28))^2+(2*(E7-Setup!$B$20)*Setup!$B$16)^2-(((C7-Setup!$B$18)^2+(D7-Setup!$B$19)^2+(E7-Setup!$B$20)^2)+Setup!$B$27^2+Setup!$B$28^2+Setup!$B$16^2-2*(C7-Setup!$B$18)*Setup!$B$27+2*(D7-Setup!$B$19)*Setup!$B$28-Setup!$B$17^2)^2)&lt;0),"",DEGREES(2*ATAN((-(2*(E7-Setup!$B$20)*Setup!$B$16)-SQRT(((Setup!$B$16*(SQRT(3)*((C7-Setup!$B$18)-Setup!$B$27)-(D7-Setup!$B$19)-Setup!$B$28))^2+(2*(E7-Setup!$B$20)*Setup!$B$16)^2-(((C7-Setup!$B$18)^2+(D7-Setup!$B$19)^2+(E7-Setup!$B$20)^2)+Setup!$B$27^2+Setup!$B$28^2+Setup!$B$16^2-2*(C7-Setup!$B$18)*Setup!$B$27+2*(D7-Setup!$B$19)*Setup!$B$28-Setup!$B$17^2)^2)))/((((C7-Setup!$B$18)^2+(D7-Setup!$B$19)^2+(E7-Setup!$B$20)^2)+Setup!$B$27^2+Setup!$B$28^2+Setup!$B$16^2-2*(C7-Setup!$B$18)*Setup!$B$27+2*(D7-Setup!$B$19)*Setup!$B$28-Setup!$B$17^2)-(Setup!$B$16*(SQRT(3)*((C7-Setup!$B$18)-Setup!$B$27)-(D7-Setup!$B$19)-Setup!$B$28))))))</f>
        <v>15.8722107397623</v>
      </c>
      <c r="H7" s="16" t="n">
        <f aca="false">IF(OR(E7="",((2*Setup!$B$16*((D7-Setup!$B$19)+Setup!$B$26))^2+(2*(E7-Setup!$B$20)*Setup!$B$16)^2-(((C7-Setup!$B$18)^2+(D7-Setup!$B$19)^2+(E7-Setup!$B$20)^2)+Setup!$B$26^2+Setup!$B$16^2+2*(D7-Setup!$B$19)*Setup!$B$26-Setup!$B$17^2)^2)&lt;0),"",DEGREES(2*ATAN((-(2*(E7-Setup!$B$20)*Setup!$B$16)-SQRT(((2*Setup!$B$16*((D7-Setup!$B$19)+Setup!$B$26))^2+(2*(E7-Setup!$B$20)*Setup!$B$16)^2-(((C7-Setup!$B$18)^2+(D7-Setup!$B$19)^2+(E7-Setup!$B$20)^2)+Setup!$B$26^2+Setup!$B$16^2+2*(D7-Setup!$B$19)*Setup!$B$26-Setup!$B$17^2)^2)))/((((C7-Setup!$B$18)^2+(D7-Setup!$B$19)^2+(E7-Setup!$B$20)^2)+Setup!$B$26^2+Setup!$B$16^2+2*(D7-Setup!$B$19)*Setup!$B$26-Setup!$B$17^2)-(2*Setup!$B$16*((D7-Setup!$B$19)+Setup!$B$26))))))</f>
        <v>11.0047717794265</v>
      </c>
      <c r="I7" s="17"/>
      <c r="J7" s="17"/>
      <c r="K7" s="17"/>
      <c r="L7" s="17"/>
      <c r="M7" s="17"/>
      <c r="N7" s="17"/>
      <c r="O7" s="18" t="str">
        <f aca="false">IF(OR(L7="",F7=""),"",L7-F7)</f>
        <v/>
      </c>
      <c r="P7" s="18" t="str">
        <f aca="false">IF(OR(M7="",G7=""),"",M7-G7)</f>
        <v/>
      </c>
      <c r="Q7" s="18" t="str">
        <f aca="false">IF(OR(N7="",H7=""),"",N7-H7)</f>
        <v/>
      </c>
      <c r="R7" s="11"/>
    </row>
    <row r="8" customFormat="false" ht="15" hidden="false" customHeight="false" outlineLevel="0" collapsed="false">
      <c r="A8" s="15" t="s">
        <v>110</v>
      </c>
      <c r="B8" s="15" t="n">
        <v>3</v>
      </c>
      <c r="C8" s="15" t="n">
        <v>-60</v>
      </c>
      <c r="D8" s="15" t="n">
        <v>0</v>
      </c>
      <c r="E8" s="15" t="n">
        <v>-650</v>
      </c>
      <c r="F8" s="16" t="n">
        <f aca="false">IF(OR(E8="",((-Setup!$B$16*(SQRT(3)*((C8-Setup!$B$18)+Setup!$B$27)+(D8-Setup!$B$19)+Setup!$B$28))^2+(2*(E8-Setup!$B$20)*Setup!$B$16)^2-(((C8-Setup!$B$18)^2+(D8-Setup!$B$19)^2+(E8-Setup!$B$20)^2)+Setup!$B$27^2+Setup!$B$28^2+Setup!$B$16^2+2*(C8-Setup!$B$18)*Setup!$B$27+2*(D8-Setup!$B$19)*Setup!$B$28-Setup!$B$17^2)^2)&lt;0),"",DEGREES(2*ATAN((-(2*(E8-Setup!$B$20)*Setup!$B$16)-SQRT(((-Setup!$B$16*(SQRT(3)*((C8-Setup!$B$18)+Setup!$B$27)+(D8-Setup!$B$19)+Setup!$B$28))^2+(2*(E8-Setup!$B$20)*Setup!$B$16)^2-(((C8-Setup!$B$18)^2+(D8-Setup!$B$19)^2+(E8-Setup!$B$20)^2)+Setup!$B$27^2+Setup!$B$28^2+Setup!$B$16^2+2*(C8-Setup!$B$18)*Setup!$B$27+2*(D8-Setup!$B$19)*Setup!$B$28-Setup!$B$17^2)^2)))/((((C8-Setup!$B$18)^2+(D8-Setup!$B$19)^2+(E8-Setup!$B$20)^2)+Setup!$B$27^2+Setup!$B$28^2+Setup!$B$16^2+2*(C8-Setup!$B$18)*Setup!$B$27+2*(D8-Setup!$B$19)*Setup!$B$28-Setup!$B$17^2)-(-Setup!$B$16*(SQRT(3)*((C8-Setup!$B$18)+Setup!$B$27)+(D8-Setup!$B$19)+Setup!$B$28))))))</f>
        <v>15.8722107397623</v>
      </c>
      <c r="G8" s="16" t="n">
        <f aca="false">IF(OR(E8="",((Setup!$B$16*(SQRT(3)*((C8-Setup!$B$18)-Setup!$B$27)-(D8-Setup!$B$19)-Setup!$B$28))^2+(2*(E8-Setup!$B$20)*Setup!$B$16)^2-(((C8-Setup!$B$18)^2+(D8-Setup!$B$19)^2+(E8-Setup!$B$20)^2)+Setup!$B$27^2+Setup!$B$28^2+Setup!$B$16^2-2*(C8-Setup!$B$18)*Setup!$B$27+2*(D8-Setup!$B$19)*Setup!$B$28-Setup!$B$17^2)^2)&lt;0),"",DEGREES(2*ATAN((-(2*(E8-Setup!$B$20)*Setup!$B$16)-SQRT(((Setup!$B$16*(SQRT(3)*((C8-Setup!$B$18)-Setup!$B$27)-(D8-Setup!$B$19)-Setup!$B$28))^2+(2*(E8-Setup!$B$20)*Setup!$B$16)^2-(((C8-Setup!$B$18)^2+(D8-Setup!$B$19)^2+(E8-Setup!$B$20)^2)+Setup!$B$27^2+Setup!$B$28^2+Setup!$B$16^2-2*(C8-Setup!$B$18)*Setup!$B$27+2*(D8-Setup!$B$19)*Setup!$B$28-Setup!$B$17^2)^2)))/((((C8-Setup!$B$18)^2+(D8-Setup!$B$19)^2+(E8-Setup!$B$20)^2)+Setup!$B$27^2+Setup!$B$28^2+Setup!$B$16^2-2*(C8-Setup!$B$18)*Setup!$B$27+2*(D8-Setup!$B$19)*Setup!$B$28-Setup!$B$17^2)-(Setup!$B$16*(SQRT(3)*((C8-Setup!$B$18)-Setup!$B$27)-(D8-Setup!$B$19)-Setup!$B$28))))))</f>
        <v>6.05717686980213</v>
      </c>
      <c r="H8" s="16" t="n">
        <f aca="false">IF(OR(E8="",((2*Setup!$B$16*((D8-Setup!$B$19)+Setup!$B$26))^2+(2*(E8-Setup!$B$20)*Setup!$B$16)^2-(((C8-Setup!$B$18)^2+(D8-Setup!$B$19)^2+(E8-Setup!$B$20)^2)+Setup!$B$26^2+Setup!$B$16^2+2*(D8-Setup!$B$19)*Setup!$B$26-Setup!$B$17^2)^2)&lt;0),"",DEGREES(2*ATAN((-(2*(E8-Setup!$B$20)*Setup!$B$16)-SQRT(((2*Setup!$B$16*((D8-Setup!$B$19)+Setup!$B$26))^2+(2*(E8-Setup!$B$20)*Setup!$B$16)^2-(((C8-Setup!$B$18)^2+(D8-Setup!$B$19)^2+(E8-Setup!$B$20)^2)+Setup!$B$26^2+Setup!$B$16^2+2*(D8-Setup!$B$19)*Setup!$B$26-Setup!$B$17^2)^2)))/((((C8-Setup!$B$18)^2+(D8-Setup!$B$19)^2+(E8-Setup!$B$20)^2)+Setup!$B$26^2+Setup!$B$16^2+2*(D8-Setup!$B$19)*Setup!$B$26-Setup!$B$17^2)-(2*Setup!$B$16*((D8-Setup!$B$19)+Setup!$B$26))))))</f>
        <v>11.0047717794265</v>
      </c>
      <c r="I8" s="17"/>
      <c r="J8" s="17"/>
      <c r="K8" s="17"/>
      <c r="L8" s="17"/>
      <c r="M8" s="17"/>
      <c r="N8" s="17"/>
      <c r="O8" s="18" t="str">
        <f aca="false">IF(OR(L8="",F8=""),"",L8-F8)</f>
        <v/>
      </c>
      <c r="P8" s="18" t="str">
        <f aca="false">IF(OR(M8="",G8=""),"",M8-G8)</f>
        <v/>
      </c>
      <c r="Q8" s="18" t="str">
        <f aca="false">IF(OR(N8="",H8=""),"",N8-H8)</f>
        <v/>
      </c>
      <c r="R8" s="11"/>
    </row>
    <row r="9" customFormat="false" ht="15" hidden="false" customHeight="false" outlineLevel="0" collapsed="false">
      <c r="A9" s="15" t="s">
        <v>110</v>
      </c>
      <c r="B9" s="15" t="n">
        <v>4</v>
      </c>
      <c r="C9" s="15" t="n">
        <v>0</v>
      </c>
      <c r="D9" s="15" t="n">
        <v>60</v>
      </c>
      <c r="E9" s="15" t="n">
        <v>-650</v>
      </c>
      <c r="F9" s="16" t="n">
        <f aca="false">IF(OR(E9="",((-Setup!$B$16*(SQRT(3)*((C9-Setup!$B$18)+Setup!$B$27)+(D9-Setup!$B$19)+Setup!$B$28))^2+(2*(E9-Setup!$B$20)*Setup!$B$16)^2-(((C9-Setup!$B$18)^2+(D9-Setup!$B$19)^2+(E9-Setup!$B$20)^2)+Setup!$B$27^2+Setup!$B$28^2+Setup!$B$16^2+2*(C9-Setup!$B$18)*Setup!$B$27+2*(D9-Setup!$B$19)*Setup!$B$28-Setup!$B$17^2)^2)&lt;0),"",DEGREES(2*ATAN((-(2*(E9-Setup!$B$20)*Setup!$B$16)-SQRT(((-Setup!$B$16*(SQRT(3)*((C9-Setup!$B$18)+Setup!$B$27)+(D9-Setup!$B$19)+Setup!$B$28))^2+(2*(E9-Setup!$B$20)*Setup!$B$16)^2-(((C9-Setup!$B$18)^2+(D9-Setup!$B$19)^2+(E9-Setup!$B$20)^2)+Setup!$B$27^2+Setup!$B$28^2+Setup!$B$16^2+2*(C9-Setup!$B$18)*Setup!$B$27+2*(D9-Setup!$B$19)*Setup!$B$28-Setup!$B$17^2)^2)))/((((C9-Setup!$B$18)^2+(D9-Setup!$B$19)^2+(E9-Setup!$B$20)^2)+Setup!$B$27^2+Setup!$B$28^2+Setup!$B$16^2+2*(C9-Setup!$B$18)*Setup!$B$27+2*(D9-Setup!$B$19)*Setup!$B$28-Setup!$B$17^2)-(-Setup!$B$16*(SQRT(3)*((C9-Setup!$B$18)+Setup!$B$27)+(D9-Setup!$B$19)+Setup!$B$28))))))</f>
        <v>8.15366493433878</v>
      </c>
      <c r="G9" s="16" t="n">
        <f aca="false">IF(OR(E9="",((Setup!$B$16*(SQRT(3)*((C9-Setup!$B$18)-Setup!$B$27)-(D9-Setup!$B$19)-Setup!$B$28))^2+(2*(E9-Setup!$B$20)*Setup!$B$16)^2-(((C9-Setup!$B$18)^2+(D9-Setup!$B$19)^2+(E9-Setup!$B$20)^2)+Setup!$B$27^2+Setup!$B$28^2+Setup!$B$16^2-2*(C9-Setup!$B$18)*Setup!$B$27+2*(D9-Setup!$B$19)*Setup!$B$28-Setup!$B$17^2)^2)&lt;0),"",DEGREES(2*ATAN((-(2*(E9-Setup!$B$20)*Setup!$B$16)-SQRT(((Setup!$B$16*(SQRT(3)*((C9-Setup!$B$18)-Setup!$B$27)-(D9-Setup!$B$19)-Setup!$B$28))^2+(2*(E9-Setup!$B$20)*Setup!$B$16)^2-(((C9-Setup!$B$18)^2+(D9-Setup!$B$19)^2+(E9-Setup!$B$20)^2)+Setup!$B$27^2+Setup!$B$28^2+Setup!$B$16^2-2*(C9-Setup!$B$18)*Setup!$B$27+2*(D9-Setup!$B$19)*Setup!$B$28-Setup!$B$17^2)^2)))/((((C9-Setup!$B$18)^2+(D9-Setup!$B$19)^2+(E9-Setup!$B$20)^2)+Setup!$B$27^2+Setup!$B$28^2+Setup!$B$16^2-2*(C9-Setup!$B$18)*Setup!$B$27+2*(D9-Setup!$B$19)*Setup!$B$28-Setup!$B$17^2)-(Setup!$B$16*(SQRT(3)*((C9-Setup!$B$18)-Setup!$B$27)-(D9-Setup!$B$19)-Setup!$B$28))))))</f>
        <v>8.15366493433878</v>
      </c>
      <c r="H9" s="16" t="n">
        <f aca="false">IF(OR(E9="",((2*Setup!$B$16*((D9-Setup!$B$19)+Setup!$B$26))^2+(2*(E9-Setup!$B$20)*Setup!$B$16)^2-(((C9-Setup!$B$18)^2+(D9-Setup!$B$19)^2+(E9-Setup!$B$20)^2)+Setup!$B$26^2+Setup!$B$16^2+2*(D9-Setup!$B$19)*Setup!$B$26-Setup!$B$17^2)^2)&lt;0),"",DEGREES(2*ATAN((-(2*(E9-Setup!$B$20)*Setup!$B$16)-SQRT(((2*Setup!$B$16*((D9-Setup!$B$19)+Setup!$B$26))^2+(2*(E9-Setup!$B$20)*Setup!$B$16)^2-(((C9-Setup!$B$18)^2+(D9-Setup!$B$19)^2+(E9-Setup!$B$20)^2)+Setup!$B$26^2+Setup!$B$16^2+2*(D9-Setup!$B$19)*Setup!$B$26-Setup!$B$17^2)^2)))/((((C9-Setup!$B$18)^2+(D9-Setup!$B$19)^2+(E9-Setup!$B$20)^2)+Setup!$B$26^2+Setup!$B$16^2+2*(D9-Setup!$B$19)*Setup!$B$26-Setup!$B$17^2)-(2*Setup!$B$16*((D9-Setup!$B$19)+Setup!$B$26))))))</f>
        <v>16.6138159867338</v>
      </c>
      <c r="I9" s="17"/>
      <c r="J9" s="17"/>
      <c r="K9" s="17"/>
      <c r="L9" s="17"/>
      <c r="M9" s="17"/>
      <c r="N9" s="17"/>
      <c r="O9" s="18" t="str">
        <f aca="false">IF(OR(L9="",F9=""),"",L9-F9)</f>
        <v/>
      </c>
      <c r="P9" s="18" t="str">
        <f aca="false">IF(OR(M9="",G9=""),"",M9-G9)</f>
        <v/>
      </c>
      <c r="Q9" s="18" t="str">
        <f aca="false">IF(OR(N9="",H9=""),"",N9-H9)</f>
        <v/>
      </c>
      <c r="R9" s="11"/>
    </row>
    <row r="10" customFormat="false" ht="15" hidden="false" customHeight="false" outlineLevel="0" collapsed="false">
      <c r="A10" s="15" t="s">
        <v>110</v>
      </c>
      <c r="B10" s="15" t="n">
        <v>5</v>
      </c>
      <c r="C10" s="15" t="n">
        <v>0</v>
      </c>
      <c r="D10" s="15" t="n">
        <v>-60</v>
      </c>
      <c r="E10" s="15" t="n">
        <v>-650</v>
      </c>
      <c r="F10" s="16" t="n">
        <f aca="false">IF(OR(E10="",((-Setup!$B$16*(SQRT(3)*((C10-Setup!$B$18)+Setup!$B$27)+(D10-Setup!$B$19)+Setup!$B$28))^2+(2*(E10-Setup!$B$20)*Setup!$B$16)^2-(((C10-Setup!$B$18)^2+(D10-Setup!$B$19)^2+(E10-Setup!$B$20)^2)+Setup!$B$27^2+Setup!$B$28^2+Setup!$B$16^2+2*(C10-Setup!$B$18)*Setup!$B$27+2*(D10-Setup!$B$19)*Setup!$B$28-Setup!$B$17^2)^2)&lt;0),"",DEGREES(2*ATAN((-(2*(E10-Setup!$B$20)*Setup!$B$16)-SQRT(((-Setup!$B$16*(SQRT(3)*((C10-Setup!$B$18)+Setup!$B$27)+(D10-Setup!$B$19)+Setup!$B$28))^2+(2*(E10-Setup!$B$20)*Setup!$B$16)^2-(((C10-Setup!$B$18)^2+(D10-Setup!$B$19)^2+(E10-Setup!$B$20)^2)+Setup!$B$27^2+Setup!$B$28^2+Setup!$B$16^2+2*(C10-Setup!$B$18)*Setup!$B$27+2*(D10-Setup!$B$19)*Setup!$B$28-Setup!$B$17^2)^2)))/((((C10-Setup!$B$18)^2+(D10-Setup!$B$19)^2+(E10-Setup!$B$20)^2)+Setup!$B$27^2+Setup!$B$28^2+Setup!$B$16^2+2*(C10-Setup!$B$18)*Setup!$B$27+2*(D10-Setup!$B$19)*Setup!$B$28-Setup!$B$17^2)-(-Setup!$B$16*(SQRT(3)*((C10-Setup!$B$18)+Setup!$B$27)+(D10-Setup!$B$19)+Setup!$B$28))))))</f>
        <v>13.8290645427131</v>
      </c>
      <c r="G10" s="16" t="n">
        <f aca="false">IF(OR(E10="",((Setup!$B$16*(SQRT(3)*((C10-Setup!$B$18)-Setup!$B$27)-(D10-Setup!$B$19)-Setup!$B$28))^2+(2*(E10-Setup!$B$20)*Setup!$B$16)^2-(((C10-Setup!$B$18)^2+(D10-Setup!$B$19)^2+(E10-Setup!$B$20)^2)+Setup!$B$27^2+Setup!$B$28^2+Setup!$B$16^2-2*(C10-Setup!$B$18)*Setup!$B$27+2*(D10-Setup!$B$19)*Setup!$B$28-Setup!$B$17^2)^2)&lt;0),"",DEGREES(2*ATAN((-(2*(E10-Setup!$B$20)*Setup!$B$16)-SQRT(((Setup!$B$16*(SQRT(3)*((C10-Setup!$B$18)-Setup!$B$27)-(D10-Setup!$B$19)-Setup!$B$28))^2+(2*(E10-Setup!$B$20)*Setup!$B$16)^2-(((C10-Setup!$B$18)^2+(D10-Setup!$B$19)^2+(E10-Setup!$B$20)^2)+Setup!$B$27^2+Setup!$B$28^2+Setup!$B$16^2-2*(C10-Setup!$B$18)*Setup!$B$27+2*(D10-Setup!$B$19)*Setup!$B$28-Setup!$B$17^2)^2)))/((((C10-Setup!$B$18)^2+(D10-Setup!$B$19)^2+(E10-Setup!$B$20)^2)+Setup!$B$27^2+Setup!$B$28^2+Setup!$B$16^2-2*(C10-Setup!$B$18)*Setup!$B$27+2*(D10-Setup!$B$19)*Setup!$B$28-Setup!$B$17^2)-(Setup!$B$16*(SQRT(3)*((C10-Setup!$B$18)-Setup!$B$27)-(D10-Setup!$B$19)-Setup!$B$28))))))</f>
        <v>13.8290645427131</v>
      </c>
      <c r="H10" s="16" t="n">
        <f aca="false">IF(OR(E10="",((2*Setup!$B$16*((D10-Setup!$B$19)+Setup!$B$26))^2+(2*(E10-Setup!$B$20)*Setup!$B$16)^2-(((C10-Setup!$B$18)^2+(D10-Setup!$B$19)^2+(E10-Setup!$B$20)^2)+Setup!$B$26^2+Setup!$B$16^2+2*(D10-Setup!$B$19)*Setup!$B$26-Setup!$B$17^2)^2)&lt;0),"",DEGREES(2*ATAN((-(2*(E10-Setup!$B$20)*Setup!$B$16)-SQRT(((2*Setup!$B$16*((D10-Setup!$B$19)+Setup!$B$26))^2+(2*(E10-Setup!$B$20)*Setup!$B$16)^2-(((C10-Setup!$B$18)^2+(D10-Setup!$B$19)^2+(E10-Setup!$B$20)^2)+Setup!$B$26^2+Setup!$B$16^2+2*(D10-Setup!$B$19)*Setup!$B$26-Setup!$B$17^2)^2)))/((((C10-Setup!$B$18)^2+(D10-Setup!$B$19)^2+(E10-Setup!$B$20)^2)+Setup!$B$26^2+Setup!$B$16^2+2*(D10-Setup!$B$19)*Setup!$B$26-Setup!$B$17^2)-(2*Setup!$B$16*((D10-Setup!$B$19)+Setup!$B$26))))))</f>
        <v>5.28904271804424</v>
      </c>
      <c r="I10" s="17"/>
      <c r="J10" s="17"/>
      <c r="K10" s="17"/>
      <c r="L10" s="17"/>
      <c r="M10" s="17"/>
      <c r="N10" s="17"/>
      <c r="O10" s="18" t="str">
        <f aca="false">IF(OR(L10="",F10=""),"",L10-F10)</f>
        <v/>
      </c>
      <c r="P10" s="18" t="str">
        <f aca="false">IF(OR(M10="",G10=""),"",M10-G10)</f>
        <v/>
      </c>
      <c r="Q10" s="18" t="str">
        <f aca="false">IF(OR(N10="",H10=""),"",N10-H10)</f>
        <v/>
      </c>
      <c r="R10" s="11"/>
    </row>
  </sheetData>
  <conditionalFormatting sqref="I6:K10">
    <cfRule type="expression" priority="2" aboveAverage="0" equalAverage="0" bottom="0" percent="0" rank="0" text="" dxfId="0">
      <formula>AND(ISNUMBER(I6),ISNUMBER(F6),ABS(I6-F6)&gt;0.2)</formula>
    </cfRule>
  </conditionalFormatting>
  <conditionalFormatting sqref="O6:Q10">
    <cfRule type="expression" priority="3" aboveAverage="0" equalAverage="0" bottom="0" percent="0" rank="0" text="" dxfId="0">
      <formula>AND(ISNUMBER(O6),ABS(O6)&gt;1)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111</v>
      </c>
    </row>
    <row r="2" customFormat="false" ht="42" hidden="false" customHeight="true" outlineLevel="0" collapsed="false">
      <c r="A2" s="19" t="s">
        <v>112</v>
      </c>
      <c r="B2" s="19"/>
      <c r="C2" s="19"/>
      <c r="D2" s="19"/>
      <c r="E2" s="19"/>
      <c r="F2" s="19"/>
      <c r="G2" s="19"/>
      <c r="H2" s="19"/>
    </row>
    <row r="4" customFormat="false" ht="15" hidden="false" customHeight="false" outlineLevel="0" collapsed="false">
      <c r="A4" s="8" t="s">
        <v>82</v>
      </c>
      <c r="B4" s="8" t="s">
        <v>113</v>
      </c>
      <c r="C4" s="8" t="s">
        <v>114</v>
      </c>
      <c r="D4" s="8" t="s">
        <v>115</v>
      </c>
      <c r="E4" s="8" t="s">
        <v>116</v>
      </c>
      <c r="F4" s="8" t="s">
        <v>117</v>
      </c>
      <c r="G4" s="8" t="s">
        <v>118</v>
      </c>
      <c r="H4" s="8" t="s">
        <v>119</v>
      </c>
      <c r="I4" s="8" t="s">
        <v>120</v>
      </c>
      <c r="J4" s="8" t="s">
        <v>121</v>
      </c>
      <c r="K4" s="8" t="s">
        <v>122</v>
      </c>
    </row>
    <row r="5" customFormat="false" ht="15" hidden="false" customHeight="false" outlineLevel="0" collapsed="false">
      <c r="A5" s="20" t="s">
        <v>123</v>
      </c>
      <c r="B5" s="21" t="n">
        <f aca="false">SUMPRODUCT(ISNUMBER(Sweep!$L$6:$L$39)*ISNUMBER(Sweep!$F$6:$F$39))</f>
        <v>0</v>
      </c>
      <c r="C5" s="18" t="str">
        <f aca="false">IF(B5=0,"",SUMPRODUCT(ISNUMBER(Sweep!$L$6:$L$39)*ISNUMBER(Sweep!$F$6:$F$39)*(Sweep!$L$6:$L$39-Sweep!$F$6:$F$39))/B5)</f>
        <v/>
      </c>
      <c r="D5" s="16" t="str">
        <f aca="false">IF(B5=0,"",SUMPRODUCT(MAX(ISNUMBER(Sweep!$L$6:$L$39)*ISNUMBER(Sweep!$F$6:$F$39)*ABS(Sweep!$L$6:$L$39-Sweep!$F$6:$F$39))))</f>
        <v/>
      </c>
      <c r="E5" s="22" t="str">
        <f aca="false">IF(B5&lt;3,"",SLOPE(Sweep!$L$6:$L$39,Sweep!$F$6:$F$39))</f>
        <v/>
      </c>
      <c r="F5" s="18" t="str">
        <f aca="false">IF(B5&lt;3,"",INTERCEPT(Sweep!$L$6:$L$39,Sweep!$F$6:$F$39))</f>
        <v/>
      </c>
      <c r="G5" s="22" t="str">
        <f aca="false">IF(B5&lt;3,"",RSQ(Sweep!$L$6:$L$39,Sweep!$F$6:$F$39))</f>
        <v/>
      </c>
      <c r="H5" s="22" t="str">
        <f aca="false">IF(B5&lt;3,"",Setup!$C$32/E5)</f>
        <v/>
      </c>
      <c r="I5" s="21" t="str">
        <f aca="false">IF(B5&lt;3,"",ROUND(Setup!$B$32-F5*H5,0))</f>
        <v/>
      </c>
      <c r="J5" s="23" t="str">
        <f aca="false">IF(B5&lt;3,"",I5-Setup!$B$32)</f>
        <v/>
      </c>
      <c r="K5" s="24" t="str">
        <f aca="false">IF(B5&lt;3,"",H5/Setup!$C$32-1)</f>
        <v/>
      </c>
    </row>
    <row r="6" customFormat="false" ht="15" hidden="false" customHeight="false" outlineLevel="0" collapsed="false">
      <c r="A6" s="20" t="s">
        <v>124</v>
      </c>
      <c r="B6" s="21" t="n">
        <f aca="false">SUMPRODUCT(ISNUMBER(Sweep!$M$6:$M$39)*ISNUMBER(Sweep!$G$6:$G$39))</f>
        <v>0</v>
      </c>
      <c r="C6" s="18" t="str">
        <f aca="false">IF(B6=0,"",SUMPRODUCT(ISNUMBER(Sweep!$M$6:$M$39)*ISNUMBER(Sweep!$G$6:$G$39)*(Sweep!$M$6:$M$39-Sweep!$G$6:$G$39))/B6)</f>
        <v/>
      </c>
      <c r="D6" s="16" t="str">
        <f aca="false">IF(B6=0,"",SUMPRODUCT(MAX(ISNUMBER(Sweep!$M$6:$M$39)*ISNUMBER(Sweep!$G$6:$G$39)*ABS(Sweep!$M$6:$M$39-Sweep!$G$6:$G$39))))</f>
        <v/>
      </c>
      <c r="E6" s="22" t="str">
        <f aca="false">IF(B6&lt;3,"",SLOPE(Sweep!$M$6:$M$39,Sweep!$G$6:$G$39))</f>
        <v/>
      </c>
      <c r="F6" s="18" t="str">
        <f aca="false">IF(B6&lt;3,"",INTERCEPT(Sweep!$M$6:$M$39,Sweep!$G$6:$G$39))</f>
        <v/>
      </c>
      <c r="G6" s="22" t="str">
        <f aca="false">IF(B6&lt;3,"",RSQ(Sweep!$M$6:$M$39,Sweep!$G$6:$G$39))</f>
        <v/>
      </c>
      <c r="H6" s="22" t="str">
        <f aca="false">IF(B6&lt;3,"",Setup!$C$33/E6)</f>
        <v/>
      </c>
      <c r="I6" s="21" t="str">
        <f aca="false">IF(B6&lt;3,"",ROUND(Setup!$B$33-F6*H6,0))</f>
        <v/>
      </c>
      <c r="J6" s="23" t="str">
        <f aca="false">IF(B6&lt;3,"",I6-Setup!$B$33)</f>
        <v/>
      </c>
      <c r="K6" s="24" t="str">
        <f aca="false">IF(B6&lt;3,"",H6/Setup!$C$33-1)</f>
        <v/>
      </c>
    </row>
    <row r="7" customFormat="false" ht="15" hidden="false" customHeight="false" outlineLevel="0" collapsed="false">
      <c r="A7" s="20" t="s">
        <v>125</v>
      </c>
      <c r="B7" s="21" t="n">
        <f aca="false">SUMPRODUCT(ISNUMBER(Sweep!$N$6:$N$39)*ISNUMBER(Sweep!$H$6:$H$39))</f>
        <v>0</v>
      </c>
      <c r="C7" s="18" t="str">
        <f aca="false">IF(B7=0,"",SUMPRODUCT(ISNUMBER(Sweep!$N$6:$N$39)*ISNUMBER(Sweep!$H$6:$H$39)*(Sweep!$N$6:$N$39-Sweep!$H$6:$H$39))/B7)</f>
        <v/>
      </c>
      <c r="D7" s="16" t="str">
        <f aca="false">IF(B7=0,"",SUMPRODUCT(MAX(ISNUMBER(Sweep!$N$6:$N$39)*ISNUMBER(Sweep!$H$6:$H$39)*ABS(Sweep!$N$6:$N$39-Sweep!$H$6:$H$39))))</f>
        <v/>
      </c>
      <c r="E7" s="22" t="str">
        <f aca="false">IF(B7&lt;3,"",SLOPE(Sweep!$N$6:$N$39,Sweep!$H$6:$H$39))</f>
        <v/>
      </c>
      <c r="F7" s="18" t="str">
        <f aca="false">IF(B7&lt;3,"",INTERCEPT(Sweep!$N$6:$N$39,Sweep!$H$6:$H$39))</f>
        <v/>
      </c>
      <c r="G7" s="22" t="str">
        <f aca="false">IF(B7&lt;3,"",RSQ(Sweep!$N$6:$N$39,Sweep!$H$6:$H$39))</f>
        <v/>
      </c>
      <c r="H7" s="22" t="str">
        <f aca="false">IF(B7&lt;3,"",Setup!$C$34/E7)</f>
        <v/>
      </c>
      <c r="I7" s="21" t="str">
        <f aca="false">IF(B7&lt;3,"",ROUND(Setup!$B$34-F7*H7,0))</f>
        <v/>
      </c>
      <c r="J7" s="23" t="str">
        <f aca="false">IF(B7&lt;3,"",I7-Setup!$B$34)</f>
        <v/>
      </c>
      <c r="K7" s="24" t="str">
        <f aca="false">IF(B7&lt;3,"",H7/Setup!$C$34-1)</f>
        <v/>
      </c>
    </row>
    <row r="9" customFormat="false" ht="15" hidden="false" customHeight="false" outlineLevel="0" collapsed="false">
      <c r="A9" s="12" t="s">
        <v>126</v>
      </c>
    </row>
    <row r="11" customFormat="false" ht="15" hidden="false" customHeight="false" outlineLevel="0" collapsed="false">
      <c r="A11" s="2" t="s">
        <v>127</v>
      </c>
    </row>
    <row r="12" customFormat="false" ht="15" hidden="false" customHeight="false" outlineLevel="0" collapsed="false">
      <c r="A12" s="8" t="s">
        <v>39</v>
      </c>
      <c r="B12" s="8" t="s">
        <v>128</v>
      </c>
      <c r="C12" s="8" t="s">
        <v>129</v>
      </c>
      <c r="D12" s="8" t="s">
        <v>130</v>
      </c>
    </row>
    <row r="13" customFormat="false" ht="15" hidden="false" customHeight="false" outlineLevel="0" collapsed="false">
      <c r="A13" s="9" t="n">
        <v>-730</v>
      </c>
      <c r="B13" s="18" t="str">
        <f aca="false">IF(COUNTIFS(Sweep!$A$6:$A$39,"Up",Sweep!$E$6:$E$39,$A13,Sweep!$L$6:$L$39,"&lt;&gt;")*COUNTIFS(Sweep!$A$6:$A$39,"Down",Sweep!$E$6:$E$39,$A13,Sweep!$L$6:$L$39,"&lt;&gt;")*COUNTIFS(Sweep!$A$6:$A$39,"Up",Sweep!$E$6:$E$39,$A13,Sweep!$F$6:$F$39,"&lt;&gt;")*COUNTIFS(Sweep!$A$6:$A$39,"Down",Sweep!$E$6:$E$39,$A13,Sweep!$F$6:$F$39,"&lt;&gt;")=0,"",(SUMIFS(Sweep!$L$6:$L$39,Sweep!$A$6:$A$39,"Up",Sweep!$E$6:$E$39,$A13)-SUMIFS(Sweep!$F$6:$F$39,Sweep!$A$6:$A$39,"Up",Sweep!$E$6:$E$39,$A13))-(SUMIFS(Sweep!$L$6:$L$39,Sweep!$A$6:$A$39,"Down",Sweep!$E$6:$E$39,$A13)-SUMIFS(Sweep!$F$6:$F$39,Sweep!$A$6:$A$39,"Down",Sweep!$E$6:$E$39,$A13)))</f>
        <v/>
      </c>
      <c r="C13" s="18" t="str">
        <f aca="false">IF(COUNTIFS(Sweep!$A$6:$A$39,"Up",Sweep!$E$6:$E$39,$A13,Sweep!$M$6:$M$39,"&lt;&gt;")*COUNTIFS(Sweep!$A$6:$A$39,"Down",Sweep!$E$6:$E$39,$A13,Sweep!$M$6:$M$39,"&lt;&gt;")*COUNTIFS(Sweep!$A$6:$A$39,"Up",Sweep!$E$6:$E$39,$A13,Sweep!$G$6:$G$39,"&lt;&gt;")*COUNTIFS(Sweep!$A$6:$A$39,"Down",Sweep!$E$6:$E$39,$A13,Sweep!$G$6:$G$39,"&lt;&gt;")=0,"",(SUMIFS(Sweep!$M$6:$M$39,Sweep!$A$6:$A$39,"Up",Sweep!$E$6:$E$39,$A13)-SUMIFS(Sweep!$G$6:$G$39,Sweep!$A$6:$A$39,"Up",Sweep!$E$6:$E$39,$A13))-(SUMIFS(Sweep!$M$6:$M$39,Sweep!$A$6:$A$39,"Down",Sweep!$E$6:$E$39,$A13)-SUMIFS(Sweep!$G$6:$G$39,Sweep!$A$6:$A$39,"Down",Sweep!$E$6:$E$39,$A13)))</f>
        <v/>
      </c>
      <c r="D13" s="18" t="str">
        <f aca="false">IF(COUNTIFS(Sweep!$A$6:$A$39,"Up",Sweep!$E$6:$E$39,$A13,Sweep!$N$6:$N$39,"&lt;&gt;")*COUNTIFS(Sweep!$A$6:$A$39,"Down",Sweep!$E$6:$E$39,$A13,Sweep!$N$6:$N$39,"&lt;&gt;")*COUNTIFS(Sweep!$A$6:$A$39,"Up",Sweep!$E$6:$E$39,$A13,Sweep!$H$6:$H$39,"&lt;&gt;")*COUNTIFS(Sweep!$A$6:$A$39,"Down",Sweep!$E$6:$E$39,$A13,Sweep!$H$6:$H$39,"&lt;&gt;")=0,"",(SUMIFS(Sweep!$N$6:$N$39,Sweep!$A$6:$A$39,"Up",Sweep!$E$6:$E$39,$A13)-SUMIFS(Sweep!$H$6:$H$39,Sweep!$A$6:$A$39,"Up",Sweep!$E$6:$E$39,$A13))-(SUMIFS(Sweep!$N$6:$N$39,Sweep!$A$6:$A$39,"Down",Sweep!$E$6:$E$39,$A13)-SUMIFS(Sweep!$H$6:$H$39,Sweep!$A$6:$A$39,"Down",Sweep!$E$6:$E$39,$A13)))</f>
        <v/>
      </c>
    </row>
    <row r="14" customFormat="false" ht="15" hidden="false" customHeight="false" outlineLevel="0" collapsed="false">
      <c r="A14" s="9" t="n">
        <v>-720</v>
      </c>
      <c r="B14" s="18" t="str">
        <f aca="false">IF(COUNTIFS(Sweep!$A$6:$A$39,"Up",Sweep!$E$6:$E$39,$A14,Sweep!$L$6:$L$39,"&lt;&gt;")*COUNTIFS(Sweep!$A$6:$A$39,"Down",Sweep!$E$6:$E$39,$A14,Sweep!$L$6:$L$39,"&lt;&gt;")*COUNTIFS(Sweep!$A$6:$A$39,"Up",Sweep!$E$6:$E$39,$A14,Sweep!$F$6:$F$39,"&lt;&gt;")*COUNTIFS(Sweep!$A$6:$A$39,"Down",Sweep!$E$6:$E$39,$A14,Sweep!$F$6:$F$39,"&lt;&gt;")=0,"",(SUMIFS(Sweep!$L$6:$L$39,Sweep!$A$6:$A$39,"Up",Sweep!$E$6:$E$39,$A14)-SUMIFS(Sweep!$F$6:$F$39,Sweep!$A$6:$A$39,"Up",Sweep!$E$6:$E$39,$A14))-(SUMIFS(Sweep!$L$6:$L$39,Sweep!$A$6:$A$39,"Down",Sweep!$E$6:$E$39,$A14)-SUMIFS(Sweep!$F$6:$F$39,Sweep!$A$6:$A$39,"Down",Sweep!$E$6:$E$39,$A14)))</f>
        <v/>
      </c>
      <c r="C14" s="18" t="str">
        <f aca="false">IF(COUNTIFS(Sweep!$A$6:$A$39,"Up",Sweep!$E$6:$E$39,$A14,Sweep!$M$6:$M$39,"&lt;&gt;")*COUNTIFS(Sweep!$A$6:$A$39,"Down",Sweep!$E$6:$E$39,$A14,Sweep!$M$6:$M$39,"&lt;&gt;")*COUNTIFS(Sweep!$A$6:$A$39,"Up",Sweep!$E$6:$E$39,$A14,Sweep!$G$6:$G$39,"&lt;&gt;")*COUNTIFS(Sweep!$A$6:$A$39,"Down",Sweep!$E$6:$E$39,$A14,Sweep!$G$6:$G$39,"&lt;&gt;")=0,"",(SUMIFS(Sweep!$M$6:$M$39,Sweep!$A$6:$A$39,"Up",Sweep!$E$6:$E$39,$A14)-SUMIFS(Sweep!$G$6:$G$39,Sweep!$A$6:$A$39,"Up",Sweep!$E$6:$E$39,$A14))-(SUMIFS(Sweep!$M$6:$M$39,Sweep!$A$6:$A$39,"Down",Sweep!$E$6:$E$39,$A14)-SUMIFS(Sweep!$G$6:$G$39,Sweep!$A$6:$A$39,"Down",Sweep!$E$6:$E$39,$A14)))</f>
        <v/>
      </c>
      <c r="D14" s="18" t="str">
        <f aca="false">IF(COUNTIFS(Sweep!$A$6:$A$39,"Up",Sweep!$E$6:$E$39,$A14,Sweep!$N$6:$N$39,"&lt;&gt;")*COUNTIFS(Sweep!$A$6:$A$39,"Down",Sweep!$E$6:$E$39,$A14,Sweep!$N$6:$N$39,"&lt;&gt;")*COUNTIFS(Sweep!$A$6:$A$39,"Up",Sweep!$E$6:$E$39,$A14,Sweep!$H$6:$H$39,"&lt;&gt;")*COUNTIFS(Sweep!$A$6:$A$39,"Down",Sweep!$E$6:$E$39,$A14,Sweep!$H$6:$H$39,"&lt;&gt;")=0,"",(SUMIFS(Sweep!$N$6:$N$39,Sweep!$A$6:$A$39,"Up",Sweep!$E$6:$E$39,$A14)-SUMIFS(Sweep!$H$6:$H$39,Sweep!$A$6:$A$39,"Up",Sweep!$E$6:$E$39,$A14))-(SUMIFS(Sweep!$N$6:$N$39,Sweep!$A$6:$A$39,"Down",Sweep!$E$6:$E$39,$A14)-SUMIFS(Sweep!$H$6:$H$39,Sweep!$A$6:$A$39,"Down",Sweep!$E$6:$E$39,$A14)))</f>
        <v/>
      </c>
    </row>
    <row r="15" customFormat="false" ht="15" hidden="false" customHeight="false" outlineLevel="0" collapsed="false">
      <c r="A15" s="9" t="n">
        <v>-710</v>
      </c>
      <c r="B15" s="18" t="str">
        <f aca="false">IF(COUNTIFS(Sweep!$A$6:$A$39,"Up",Sweep!$E$6:$E$39,$A15,Sweep!$L$6:$L$39,"&lt;&gt;")*COUNTIFS(Sweep!$A$6:$A$39,"Down",Sweep!$E$6:$E$39,$A15,Sweep!$L$6:$L$39,"&lt;&gt;")*COUNTIFS(Sweep!$A$6:$A$39,"Up",Sweep!$E$6:$E$39,$A15,Sweep!$F$6:$F$39,"&lt;&gt;")*COUNTIFS(Sweep!$A$6:$A$39,"Down",Sweep!$E$6:$E$39,$A15,Sweep!$F$6:$F$39,"&lt;&gt;")=0,"",(SUMIFS(Sweep!$L$6:$L$39,Sweep!$A$6:$A$39,"Up",Sweep!$E$6:$E$39,$A15)-SUMIFS(Sweep!$F$6:$F$39,Sweep!$A$6:$A$39,"Up",Sweep!$E$6:$E$39,$A15))-(SUMIFS(Sweep!$L$6:$L$39,Sweep!$A$6:$A$39,"Down",Sweep!$E$6:$E$39,$A15)-SUMIFS(Sweep!$F$6:$F$39,Sweep!$A$6:$A$39,"Down",Sweep!$E$6:$E$39,$A15)))</f>
        <v/>
      </c>
      <c r="C15" s="18" t="str">
        <f aca="false">IF(COUNTIFS(Sweep!$A$6:$A$39,"Up",Sweep!$E$6:$E$39,$A15,Sweep!$M$6:$M$39,"&lt;&gt;")*COUNTIFS(Sweep!$A$6:$A$39,"Down",Sweep!$E$6:$E$39,$A15,Sweep!$M$6:$M$39,"&lt;&gt;")*COUNTIFS(Sweep!$A$6:$A$39,"Up",Sweep!$E$6:$E$39,$A15,Sweep!$G$6:$G$39,"&lt;&gt;")*COUNTIFS(Sweep!$A$6:$A$39,"Down",Sweep!$E$6:$E$39,$A15,Sweep!$G$6:$G$39,"&lt;&gt;")=0,"",(SUMIFS(Sweep!$M$6:$M$39,Sweep!$A$6:$A$39,"Up",Sweep!$E$6:$E$39,$A15)-SUMIFS(Sweep!$G$6:$G$39,Sweep!$A$6:$A$39,"Up",Sweep!$E$6:$E$39,$A15))-(SUMIFS(Sweep!$M$6:$M$39,Sweep!$A$6:$A$39,"Down",Sweep!$E$6:$E$39,$A15)-SUMIFS(Sweep!$G$6:$G$39,Sweep!$A$6:$A$39,"Down",Sweep!$E$6:$E$39,$A15)))</f>
        <v/>
      </c>
      <c r="D15" s="18" t="str">
        <f aca="false">IF(COUNTIFS(Sweep!$A$6:$A$39,"Up",Sweep!$E$6:$E$39,$A15,Sweep!$N$6:$N$39,"&lt;&gt;")*COUNTIFS(Sweep!$A$6:$A$39,"Down",Sweep!$E$6:$E$39,$A15,Sweep!$N$6:$N$39,"&lt;&gt;")*COUNTIFS(Sweep!$A$6:$A$39,"Up",Sweep!$E$6:$E$39,$A15,Sweep!$H$6:$H$39,"&lt;&gt;")*COUNTIFS(Sweep!$A$6:$A$39,"Down",Sweep!$E$6:$E$39,$A15,Sweep!$H$6:$H$39,"&lt;&gt;")=0,"",(SUMIFS(Sweep!$N$6:$N$39,Sweep!$A$6:$A$39,"Up",Sweep!$E$6:$E$39,$A15)-SUMIFS(Sweep!$H$6:$H$39,Sweep!$A$6:$A$39,"Up",Sweep!$E$6:$E$39,$A15))-(SUMIFS(Sweep!$N$6:$N$39,Sweep!$A$6:$A$39,"Down",Sweep!$E$6:$E$39,$A15)-SUMIFS(Sweep!$H$6:$H$39,Sweep!$A$6:$A$39,"Down",Sweep!$E$6:$E$39,$A15)))</f>
        <v/>
      </c>
    </row>
    <row r="16" customFormat="false" ht="15" hidden="false" customHeight="false" outlineLevel="0" collapsed="false">
      <c r="A16" s="9" t="n">
        <v>-700</v>
      </c>
      <c r="B16" s="18" t="str">
        <f aca="false">IF(COUNTIFS(Sweep!$A$6:$A$39,"Up",Sweep!$E$6:$E$39,$A16,Sweep!$L$6:$L$39,"&lt;&gt;")*COUNTIFS(Sweep!$A$6:$A$39,"Down",Sweep!$E$6:$E$39,$A16,Sweep!$L$6:$L$39,"&lt;&gt;")*COUNTIFS(Sweep!$A$6:$A$39,"Up",Sweep!$E$6:$E$39,$A16,Sweep!$F$6:$F$39,"&lt;&gt;")*COUNTIFS(Sweep!$A$6:$A$39,"Down",Sweep!$E$6:$E$39,$A16,Sweep!$F$6:$F$39,"&lt;&gt;")=0,"",(SUMIFS(Sweep!$L$6:$L$39,Sweep!$A$6:$A$39,"Up",Sweep!$E$6:$E$39,$A16)-SUMIFS(Sweep!$F$6:$F$39,Sweep!$A$6:$A$39,"Up",Sweep!$E$6:$E$39,$A16))-(SUMIFS(Sweep!$L$6:$L$39,Sweep!$A$6:$A$39,"Down",Sweep!$E$6:$E$39,$A16)-SUMIFS(Sweep!$F$6:$F$39,Sweep!$A$6:$A$39,"Down",Sweep!$E$6:$E$39,$A16)))</f>
        <v/>
      </c>
      <c r="C16" s="18" t="str">
        <f aca="false">IF(COUNTIFS(Sweep!$A$6:$A$39,"Up",Sweep!$E$6:$E$39,$A16,Sweep!$M$6:$M$39,"&lt;&gt;")*COUNTIFS(Sweep!$A$6:$A$39,"Down",Sweep!$E$6:$E$39,$A16,Sweep!$M$6:$M$39,"&lt;&gt;")*COUNTIFS(Sweep!$A$6:$A$39,"Up",Sweep!$E$6:$E$39,$A16,Sweep!$G$6:$G$39,"&lt;&gt;")*COUNTIFS(Sweep!$A$6:$A$39,"Down",Sweep!$E$6:$E$39,$A16,Sweep!$G$6:$G$39,"&lt;&gt;")=0,"",(SUMIFS(Sweep!$M$6:$M$39,Sweep!$A$6:$A$39,"Up",Sweep!$E$6:$E$39,$A16)-SUMIFS(Sweep!$G$6:$G$39,Sweep!$A$6:$A$39,"Up",Sweep!$E$6:$E$39,$A16))-(SUMIFS(Sweep!$M$6:$M$39,Sweep!$A$6:$A$39,"Down",Sweep!$E$6:$E$39,$A16)-SUMIFS(Sweep!$G$6:$G$39,Sweep!$A$6:$A$39,"Down",Sweep!$E$6:$E$39,$A16)))</f>
        <v/>
      </c>
      <c r="D16" s="18" t="str">
        <f aca="false">IF(COUNTIFS(Sweep!$A$6:$A$39,"Up",Sweep!$E$6:$E$39,$A16,Sweep!$N$6:$N$39,"&lt;&gt;")*COUNTIFS(Sweep!$A$6:$A$39,"Down",Sweep!$E$6:$E$39,$A16,Sweep!$N$6:$N$39,"&lt;&gt;")*COUNTIFS(Sweep!$A$6:$A$39,"Up",Sweep!$E$6:$E$39,$A16,Sweep!$H$6:$H$39,"&lt;&gt;")*COUNTIFS(Sweep!$A$6:$A$39,"Down",Sweep!$E$6:$E$39,$A16,Sweep!$H$6:$H$39,"&lt;&gt;")=0,"",(SUMIFS(Sweep!$N$6:$N$39,Sweep!$A$6:$A$39,"Up",Sweep!$E$6:$E$39,$A16)-SUMIFS(Sweep!$H$6:$H$39,Sweep!$A$6:$A$39,"Up",Sweep!$E$6:$E$39,$A16))-(SUMIFS(Sweep!$N$6:$N$39,Sweep!$A$6:$A$39,"Down",Sweep!$E$6:$E$39,$A16)-SUMIFS(Sweep!$H$6:$H$39,Sweep!$A$6:$A$39,"Down",Sweep!$E$6:$E$39,$A16)))</f>
        <v/>
      </c>
    </row>
    <row r="17" customFormat="false" ht="15" hidden="false" customHeight="false" outlineLevel="0" collapsed="false">
      <c r="A17" s="9" t="n">
        <v>-690</v>
      </c>
      <c r="B17" s="18" t="str">
        <f aca="false">IF(COUNTIFS(Sweep!$A$6:$A$39,"Up",Sweep!$E$6:$E$39,$A17,Sweep!$L$6:$L$39,"&lt;&gt;")*COUNTIFS(Sweep!$A$6:$A$39,"Down",Sweep!$E$6:$E$39,$A17,Sweep!$L$6:$L$39,"&lt;&gt;")*COUNTIFS(Sweep!$A$6:$A$39,"Up",Sweep!$E$6:$E$39,$A17,Sweep!$F$6:$F$39,"&lt;&gt;")*COUNTIFS(Sweep!$A$6:$A$39,"Down",Sweep!$E$6:$E$39,$A17,Sweep!$F$6:$F$39,"&lt;&gt;")=0,"",(SUMIFS(Sweep!$L$6:$L$39,Sweep!$A$6:$A$39,"Up",Sweep!$E$6:$E$39,$A17)-SUMIFS(Sweep!$F$6:$F$39,Sweep!$A$6:$A$39,"Up",Sweep!$E$6:$E$39,$A17))-(SUMIFS(Sweep!$L$6:$L$39,Sweep!$A$6:$A$39,"Down",Sweep!$E$6:$E$39,$A17)-SUMIFS(Sweep!$F$6:$F$39,Sweep!$A$6:$A$39,"Down",Sweep!$E$6:$E$39,$A17)))</f>
        <v/>
      </c>
      <c r="C17" s="18" t="str">
        <f aca="false">IF(COUNTIFS(Sweep!$A$6:$A$39,"Up",Sweep!$E$6:$E$39,$A17,Sweep!$M$6:$M$39,"&lt;&gt;")*COUNTIFS(Sweep!$A$6:$A$39,"Down",Sweep!$E$6:$E$39,$A17,Sweep!$M$6:$M$39,"&lt;&gt;")*COUNTIFS(Sweep!$A$6:$A$39,"Up",Sweep!$E$6:$E$39,$A17,Sweep!$G$6:$G$39,"&lt;&gt;")*COUNTIFS(Sweep!$A$6:$A$39,"Down",Sweep!$E$6:$E$39,$A17,Sweep!$G$6:$G$39,"&lt;&gt;")=0,"",(SUMIFS(Sweep!$M$6:$M$39,Sweep!$A$6:$A$39,"Up",Sweep!$E$6:$E$39,$A17)-SUMIFS(Sweep!$G$6:$G$39,Sweep!$A$6:$A$39,"Up",Sweep!$E$6:$E$39,$A17))-(SUMIFS(Sweep!$M$6:$M$39,Sweep!$A$6:$A$39,"Down",Sweep!$E$6:$E$39,$A17)-SUMIFS(Sweep!$G$6:$G$39,Sweep!$A$6:$A$39,"Down",Sweep!$E$6:$E$39,$A17)))</f>
        <v/>
      </c>
      <c r="D17" s="18" t="str">
        <f aca="false">IF(COUNTIFS(Sweep!$A$6:$A$39,"Up",Sweep!$E$6:$E$39,$A17,Sweep!$N$6:$N$39,"&lt;&gt;")*COUNTIFS(Sweep!$A$6:$A$39,"Down",Sweep!$E$6:$E$39,$A17,Sweep!$N$6:$N$39,"&lt;&gt;")*COUNTIFS(Sweep!$A$6:$A$39,"Up",Sweep!$E$6:$E$39,$A17,Sweep!$H$6:$H$39,"&lt;&gt;")*COUNTIFS(Sweep!$A$6:$A$39,"Down",Sweep!$E$6:$E$39,$A17,Sweep!$H$6:$H$39,"&lt;&gt;")=0,"",(SUMIFS(Sweep!$N$6:$N$39,Sweep!$A$6:$A$39,"Up",Sweep!$E$6:$E$39,$A17)-SUMIFS(Sweep!$H$6:$H$39,Sweep!$A$6:$A$39,"Up",Sweep!$E$6:$E$39,$A17))-(SUMIFS(Sweep!$N$6:$N$39,Sweep!$A$6:$A$39,"Down",Sweep!$E$6:$E$39,$A17)-SUMIFS(Sweep!$H$6:$H$39,Sweep!$A$6:$A$39,"Down",Sweep!$E$6:$E$39,$A17)))</f>
        <v/>
      </c>
    </row>
    <row r="18" customFormat="false" ht="15" hidden="false" customHeight="false" outlineLevel="0" collapsed="false">
      <c r="A18" s="9" t="n">
        <v>-680</v>
      </c>
      <c r="B18" s="18" t="str">
        <f aca="false">IF(COUNTIFS(Sweep!$A$6:$A$39,"Up",Sweep!$E$6:$E$39,$A18,Sweep!$L$6:$L$39,"&lt;&gt;")*COUNTIFS(Sweep!$A$6:$A$39,"Down",Sweep!$E$6:$E$39,$A18,Sweep!$L$6:$L$39,"&lt;&gt;")*COUNTIFS(Sweep!$A$6:$A$39,"Up",Sweep!$E$6:$E$39,$A18,Sweep!$F$6:$F$39,"&lt;&gt;")*COUNTIFS(Sweep!$A$6:$A$39,"Down",Sweep!$E$6:$E$39,$A18,Sweep!$F$6:$F$39,"&lt;&gt;")=0,"",(SUMIFS(Sweep!$L$6:$L$39,Sweep!$A$6:$A$39,"Up",Sweep!$E$6:$E$39,$A18)-SUMIFS(Sweep!$F$6:$F$39,Sweep!$A$6:$A$39,"Up",Sweep!$E$6:$E$39,$A18))-(SUMIFS(Sweep!$L$6:$L$39,Sweep!$A$6:$A$39,"Down",Sweep!$E$6:$E$39,$A18)-SUMIFS(Sweep!$F$6:$F$39,Sweep!$A$6:$A$39,"Down",Sweep!$E$6:$E$39,$A18)))</f>
        <v/>
      </c>
      <c r="C18" s="18" t="str">
        <f aca="false">IF(COUNTIFS(Sweep!$A$6:$A$39,"Up",Sweep!$E$6:$E$39,$A18,Sweep!$M$6:$M$39,"&lt;&gt;")*COUNTIFS(Sweep!$A$6:$A$39,"Down",Sweep!$E$6:$E$39,$A18,Sweep!$M$6:$M$39,"&lt;&gt;")*COUNTIFS(Sweep!$A$6:$A$39,"Up",Sweep!$E$6:$E$39,$A18,Sweep!$G$6:$G$39,"&lt;&gt;")*COUNTIFS(Sweep!$A$6:$A$39,"Down",Sweep!$E$6:$E$39,$A18,Sweep!$G$6:$G$39,"&lt;&gt;")=0,"",(SUMIFS(Sweep!$M$6:$M$39,Sweep!$A$6:$A$39,"Up",Sweep!$E$6:$E$39,$A18)-SUMIFS(Sweep!$G$6:$G$39,Sweep!$A$6:$A$39,"Up",Sweep!$E$6:$E$39,$A18))-(SUMIFS(Sweep!$M$6:$M$39,Sweep!$A$6:$A$39,"Down",Sweep!$E$6:$E$39,$A18)-SUMIFS(Sweep!$G$6:$G$39,Sweep!$A$6:$A$39,"Down",Sweep!$E$6:$E$39,$A18)))</f>
        <v/>
      </c>
      <c r="D18" s="18" t="str">
        <f aca="false">IF(COUNTIFS(Sweep!$A$6:$A$39,"Up",Sweep!$E$6:$E$39,$A18,Sweep!$N$6:$N$39,"&lt;&gt;")*COUNTIFS(Sweep!$A$6:$A$39,"Down",Sweep!$E$6:$E$39,$A18,Sweep!$N$6:$N$39,"&lt;&gt;")*COUNTIFS(Sweep!$A$6:$A$39,"Up",Sweep!$E$6:$E$39,$A18,Sweep!$H$6:$H$39,"&lt;&gt;")*COUNTIFS(Sweep!$A$6:$A$39,"Down",Sweep!$E$6:$E$39,$A18,Sweep!$H$6:$H$39,"&lt;&gt;")=0,"",(SUMIFS(Sweep!$N$6:$N$39,Sweep!$A$6:$A$39,"Up",Sweep!$E$6:$E$39,$A18)-SUMIFS(Sweep!$H$6:$H$39,Sweep!$A$6:$A$39,"Up",Sweep!$E$6:$E$39,$A18))-(SUMIFS(Sweep!$N$6:$N$39,Sweep!$A$6:$A$39,"Down",Sweep!$E$6:$E$39,$A18)-SUMIFS(Sweep!$H$6:$H$39,Sweep!$A$6:$A$39,"Down",Sweep!$E$6:$E$39,$A18)))</f>
        <v/>
      </c>
    </row>
    <row r="19" customFormat="false" ht="15" hidden="false" customHeight="false" outlineLevel="0" collapsed="false">
      <c r="A19" s="9" t="n">
        <v>-670</v>
      </c>
      <c r="B19" s="18" t="str">
        <f aca="false">IF(COUNTIFS(Sweep!$A$6:$A$39,"Up",Sweep!$E$6:$E$39,$A19,Sweep!$L$6:$L$39,"&lt;&gt;")*COUNTIFS(Sweep!$A$6:$A$39,"Down",Sweep!$E$6:$E$39,$A19,Sweep!$L$6:$L$39,"&lt;&gt;")*COUNTIFS(Sweep!$A$6:$A$39,"Up",Sweep!$E$6:$E$39,$A19,Sweep!$F$6:$F$39,"&lt;&gt;")*COUNTIFS(Sweep!$A$6:$A$39,"Down",Sweep!$E$6:$E$39,$A19,Sweep!$F$6:$F$39,"&lt;&gt;")=0,"",(SUMIFS(Sweep!$L$6:$L$39,Sweep!$A$6:$A$39,"Up",Sweep!$E$6:$E$39,$A19)-SUMIFS(Sweep!$F$6:$F$39,Sweep!$A$6:$A$39,"Up",Sweep!$E$6:$E$39,$A19))-(SUMIFS(Sweep!$L$6:$L$39,Sweep!$A$6:$A$39,"Down",Sweep!$E$6:$E$39,$A19)-SUMIFS(Sweep!$F$6:$F$39,Sweep!$A$6:$A$39,"Down",Sweep!$E$6:$E$39,$A19)))</f>
        <v/>
      </c>
      <c r="C19" s="18" t="str">
        <f aca="false">IF(COUNTIFS(Sweep!$A$6:$A$39,"Up",Sweep!$E$6:$E$39,$A19,Sweep!$M$6:$M$39,"&lt;&gt;")*COUNTIFS(Sweep!$A$6:$A$39,"Down",Sweep!$E$6:$E$39,$A19,Sweep!$M$6:$M$39,"&lt;&gt;")*COUNTIFS(Sweep!$A$6:$A$39,"Up",Sweep!$E$6:$E$39,$A19,Sweep!$G$6:$G$39,"&lt;&gt;")*COUNTIFS(Sweep!$A$6:$A$39,"Down",Sweep!$E$6:$E$39,$A19,Sweep!$G$6:$G$39,"&lt;&gt;")=0,"",(SUMIFS(Sweep!$M$6:$M$39,Sweep!$A$6:$A$39,"Up",Sweep!$E$6:$E$39,$A19)-SUMIFS(Sweep!$G$6:$G$39,Sweep!$A$6:$A$39,"Up",Sweep!$E$6:$E$39,$A19))-(SUMIFS(Sweep!$M$6:$M$39,Sweep!$A$6:$A$39,"Down",Sweep!$E$6:$E$39,$A19)-SUMIFS(Sweep!$G$6:$G$39,Sweep!$A$6:$A$39,"Down",Sweep!$E$6:$E$39,$A19)))</f>
        <v/>
      </c>
      <c r="D19" s="18" t="str">
        <f aca="false">IF(COUNTIFS(Sweep!$A$6:$A$39,"Up",Sweep!$E$6:$E$39,$A19,Sweep!$N$6:$N$39,"&lt;&gt;")*COUNTIFS(Sweep!$A$6:$A$39,"Down",Sweep!$E$6:$E$39,$A19,Sweep!$N$6:$N$39,"&lt;&gt;")*COUNTIFS(Sweep!$A$6:$A$39,"Up",Sweep!$E$6:$E$39,$A19,Sweep!$H$6:$H$39,"&lt;&gt;")*COUNTIFS(Sweep!$A$6:$A$39,"Down",Sweep!$E$6:$E$39,$A19,Sweep!$H$6:$H$39,"&lt;&gt;")=0,"",(SUMIFS(Sweep!$N$6:$N$39,Sweep!$A$6:$A$39,"Up",Sweep!$E$6:$E$39,$A19)-SUMIFS(Sweep!$H$6:$H$39,Sweep!$A$6:$A$39,"Up",Sweep!$E$6:$E$39,$A19))-(SUMIFS(Sweep!$N$6:$N$39,Sweep!$A$6:$A$39,"Down",Sweep!$E$6:$E$39,$A19)-SUMIFS(Sweep!$H$6:$H$39,Sweep!$A$6:$A$39,"Down",Sweep!$E$6:$E$39,$A19)))</f>
        <v/>
      </c>
    </row>
    <row r="20" customFormat="false" ht="15" hidden="false" customHeight="false" outlineLevel="0" collapsed="false">
      <c r="A20" s="9" t="n">
        <v>-660</v>
      </c>
      <c r="B20" s="18" t="str">
        <f aca="false">IF(COUNTIFS(Sweep!$A$6:$A$39,"Up",Sweep!$E$6:$E$39,$A20,Sweep!$L$6:$L$39,"&lt;&gt;")*COUNTIFS(Sweep!$A$6:$A$39,"Down",Sweep!$E$6:$E$39,$A20,Sweep!$L$6:$L$39,"&lt;&gt;")*COUNTIFS(Sweep!$A$6:$A$39,"Up",Sweep!$E$6:$E$39,$A20,Sweep!$F$6:$F$39,"&lt;&gt;")*COUNTIFS(Sweep!$A$6:$A$39,"Down",Sweep!$E$6:$E$39,$A20,Sweep!$F$6:$F$39,"&lt;&gt;")=0,"",(SUMIFS(Sweep!$L$6:$L$39,Sweep!$A$6:$A$39,"Up",Sweep!$E$6:$E$39,$A20)-SUMIFS(Sweep!$F$6:$F$39,Sweep!$A$6:$A$39,"Up",Sweep!$E$6:$E$39,$A20))-(SUMIFS(Sweep!$L$6:$L$39,Sweep!$A$6:$A$39,"Down",Sweep!$E$6:$E$39,$A20)-SUMIFS(Sweep!$F$6:$F$39,Sweep!$A$6:$A$39,"Down",Sweep!$E$6:$E$39,$A20)))</f>
        <v/>
      </c>
      <c r="C20" s="18" t="str">
        <f aca="false">IF(COUNTIFS(Sweep!$A$6:$A$39,"Up",Sweep!$E$6:$E$39,$A20,Sweep!$M$6:$M$39,"&lt;&gt;")*COUNTIFS(Sweep!$A$6:$A$39,"Down",Sweep!$E$6:$E$39,$A20,Sweep!$M$6:$M$39,"&lt;&gt;")*COUNTIFS(Sweep!$A$6:$A$39,"Up",Sweep!$E$6:$E$39,$A20,Sweep!$G$6:$G$39,"&lt;&gt;")*COUNTIFS(Sweep!$A$6:$A$39,"Down",Sweep!$E$6:$E$39,$A20,Sweep!$G$6:$G$39,"&lt;&gt;")=0,"",(SUMIFS(Sweep!$M$6:$M$39,Sweep!$A$6:$A$39,"Up",Sweep!$E$6:$E$39,$A20)-SUMIFS(Sweep!$G$6:$G$39,Sweep!$A$6:$A$39,"Up",Sweep!$E$6:$E$39,$A20))-(SUMIFS(Sweep!$M$6:$M$39,Sweep!$A$6:$A$39,"Down",Sweep!$E$6:$E$39,$A20)-SUMIFS(Sweep!$G$6:$G$39,Sweep!$A$6:$A$39,"Down",Sweep!$E$6:$E$39,$A20)))</f>
        <v/>
      </c>
      <c r="D20" s="18" t="str">
        <f aca="false">IF(COUNTIFS(Sweep!$A$6:$A$39,"Up",Sweep!$E$6:$E$39,$A20,Sweep!$N$6:$N$39,"&lt;&gt;")*COUNTIFS(Sweep!$A$6:$A$39,"Down",Sweep!$E$6:$E$39,$A20,Sweep!$N$6:$N$39,"&lt;&gt;")*COUNTIFS(Sweep!$A$6:$A$39,"Up",Sweep!$E$6:$E$39,$A20,Sweep!$H$6:$H$39,"&lt;&gt;")*COUNTIFS(Sweep!$A$6:$A$39,"Down",Sweep!$E$6:$E$39,$A20,Sweep!$H$6:$H$39,"&lt;&gt;")=0,"",(SUMIFS(Sweep!$N$6:$N$39,Sweep!$A$6:$A$39,"Up",Sweep!$E$6:$E$39,$A20)-SUMIFS(Sweep!$H$6:$H$39,Sweep!$A$6:$A$39,"Up",Sweep!$E$6:$E$39,$A20))-(SUMIFS(Sweep!$N$6:$N$39,Sweep!$A$6:$A$39,"Down",Sweep!$E$6:$E$39,$A20)-SUMIFS(Sweep!$H$6:$H$39,Sweep!$A$6:$A$39,"Down",Sweep!$E$6:$E$39,$A20)))</f>
        <v/>
      </c>
    </row>
    <row r="21" customFormat="false" ht="15" hidden="false" customHeight="false" outlineLevel="0" collapsed="false">
      <c r="A21" s="9" t="n">
        <v>-650</v>
      </c>
      <c r="B21" s="18" t="str">
        <f aca="false">IF(COUNTIFS(Sweep!$A$6:$A$39,"Up",Sweep!$E$6:$E$39,$A21,Sweep!$L$6:$L$39,"&lt;&gt;")*COUNTIFS(Sweep!$A$6:$A$39,"Down",Sweep!$E$6:$E$39,$A21,Sweep!$L$6:$L$39,"&lt;&gt;")*COUNTIFS(Sweep!$A$6:$A$39,"Up",Sweep!$E$6:$E$39,$A21,Sweep!$F$6:$F$39,"&lt;&gt;")*COUNTIFS(Sweep!$A$6:$A$39,"Down",Sweep!$E$6:$E$39,$A21,Sweep!$F$6:$F$39,"&lt;&gt;")=0,"",(SUMIFS(Sweep!$L$6:$L$39,Sweep!$A$6:$A$39,"Up",Sweep!$E$6:$E$39,$A21)-SUMIFS(Sweep!$F$6:$F$39,Sweep!$A$6:$A$39,"Up",Sweep!$E$6:$E$39,$A21))-(SUMIFS(Sweep!$L$6:$L$39,Sweep!$A$6:$A$39,"Down",Sweep!$E$6:$E$39,$A21)-SUMIFS(Sweep!$F$6:$F$39,Sweep!$A$6:$A$39,"Down",Sweep!$E$6:$E$39,$A21)))</f>
        <v/>
      </c>
      <c r="C21" s="18" t="str">
        <f aca="false">IF(COUNTIFS(Sweep!$A$6:$A$39,"Up",Sweep!$E$6:$E$39,$A21,Sweep!$M$6:$M$39,"&lt;&gt;")*COUNTIFS(Sweep!$A$6:$A$39,"Down",Sweep!$E$6:$E$39,$A21,Sweep!$M$6:$M$39,"&lt;&gt;")*COUNTIFS(Sweep!$A$6:$A$39,"Up",Sweep!$E$6:$E$39,$A21,Sweep!$G$6:$G$39,"&lt;&gt;")*COUNTIFS(Sweep!$A$6:$A$39,"Down",Sweep!$E$6:$E$39,$A21,Sweep!$G$6:$G$39,"&lt;&gt;")=0,"",(SUMIFS(Sweep!$M$6:$M$39,Sweep!$A$6:$A$39,"Up",Sweep!$E$6:$E$39,$A21)-SUMIFS(Sweep!$G$6:$G$39,Sweep!$A$6:$A$39,"Up",Sweep!$E$6:$E$39,$A21))-(SUMIFS(Sweep!$M$6:$M$39,Sweep!$A$6:$A$39,"Down",Sweep!$E$6:$E$39,$A21)-SUMIFS(Sweep!$G$6:$G$39,Sweep!$A$6:$A$39,"Down",Sweep!$E$6:$E$39,$A21)))</f>
        <v/>
      </c>
      <c r="D21" s="18" t="str">
        <f aca="false">IF(COUNTIFS(Sweep!$A$6:$A$39,"Up",Sweep!$E$6:$E$39,$A21,Sweep!$N$6:$N$39,"&lt;&gt;")*COUNTIFS(Sweep!$A$6:$A$39,"Down",Sweep!$E$6:$E$39,$A21,Sweep!$N$6:$N$39,"&lt;&gt;")*COUNTIFS(Sweep!$A$6:$A$39,"Up",Sweep!$E$6:$E$39,$A21,Sweep!$H$6:$H$39,"&lt;&gt;")*COUNTIFS(Sweep!$A$6:$A$39,"Down",Sweep!$E$6:$E$39,$A21,Sweep!$H$6:$H$39,"&lt;&gt;")=0,"",(SUMIFS(Sweep!$N$6:$N$39,Sweep!$A$6:$A$39,"Up",Sweep!$E$6:$E$39,$A21)-SUMIFS(Sweep!$H$6:$H$39,Sweep!$A$6:$A$39,"Up",Sweep!$E$6:$E$39,$A21))-(SUMIFS(Sweep!$N$6:$N$39,Sweep!$A$6:$A$39,"Down",Sweep!$E$6:$E$39,$A21)-SUMIFS(Sweep!$H$6:$H$39,Sweep!$A$6:$A$39,"Down",Sweep!$E$6:$E$39,$A21)))</f>
        <v/>
      </c>
    </row>
    <row r="22" customFormat="false" ht="15" hidden="false" customHeight="false" outlineLevel="0" collapsed="false">
      <c r="A22" s="9" t="n">
        <v>-640</v>
      </c>
      <c r="B22" s="18" t="str">
        <f aca="false">IF(COUNTIFS(Sweep!$A$6:$A$39,"Up",Sweep!$E$6:$E$39,$A22,Sweep!$L$6:$L$39,"&lt;&gt;")*COUNTIFS(Sweep!$A$6:$A$39,"Down",Sweep!$E$6:$E$39,$A22,Sweep!$L$6:$L$39,"&lt;&gt;")*COUNTIFS(Sweep!$A$6:$A$39,"Up",Sweep!$E$6:$E$39,$A22,Sweep!$F$6:$F$39,"&lt;&gt;")*COUNTIFS(Sweep!$A$6:$A$39,"Down",Sweep!$E$6:$E$39,$A22,Sweep!$F$6:$F$39,"&lt;&gt;")=0,"",(SUMIFS(Sweep!$L$6:$L$39,Sweep!$A$6:$A$39,"Up",Sweep!$E$6:$E$39,$A22)-SUMIFS(Sweep!$F$6:$F$39,Sweep!$A$6:$A$39,"Up",Sweep!$E$6:$E$39,$A22))-(SUMIFS(Sweep!$L$6:$L$39,Sweep!$A$6:$A$39,"Down",Sweep!$E$6:$E$39,$A22)-SUMIFS(Sweep!$F$6:$F$39,Sweep!$A$6:$A$39,"Down",Sweep!$E$6:$E$39,$A22)))</f>
        <v/>
      </c>
      <c r="C22" s="18" t="str">
        <f aca="false">IF(COUNTIFS(Sweep!$A$6:$A$39,"Up",Sweep!$E$6:$E$39,$A22,Sweep!$M$6:$M$39,"&lt;&gt;")*COUNTIFS(Sweep!$A$6:$A$39,"Down",Sweep!$E$6:$E$39,$A22,Sweep!$M$6:$M$39,"&lt;&gt;")*COUNTIFS(Sweep!$A$6:$A$39,"Up",Sweep!$E$6:$E$39,$A22,Sweep!$G$6:$G$39,"&lt;&gt;")*COUNTIFS(Sweep!$A$6:$A$39,"Down",Sweep!$E$6:$E$39,$A22,Sweep!$G$6:$G$39,"&lt;&gt;")=0,"",(SUMIFS(Sweep!$M$6:$M$39,Sweep!$A$6:$A$39,"Up",Sweep!$E$6:$E$39,$A22)-SUMIFS(Sweep!$G$6:$G$39,Sweep!$A$6:$A$39,"Up",Sweep!$E$6:$E$39,$A22))-(SUMIFS(Sweep!$M$6:$M$39,Sweep!$A$6:$A$39,"Down",Sweep!$E$6:$E$39,$A22)-SUMIFS(Sweep!$G$6:$G$39,Sweep!$A$6:$A$39,"Down",Sweep!$E$6:$E$39,$A22)))</f>
        <v/>
      </c>
      <c r="D22" s="18" t="str">
        <f aca="false">IF(COUNTIFS(Sweep!$A$6:$A$39,"Up",Sweep!$E$6:$E$39,$A22,Sweep!$N$6:$N$39,"&lt;&gt;")*COUNTIFS(Sweep!$A$6:$A$39,"Down",Sweep!$E$6:$E$39,$A22,Sweep!$N$6:$N$39,"&lt;&gt;")*COUNTIFS(Sweep!$A$6:$A$39,"Up",Sweep!$E$6:$E$39,$A22,Sweep!$H$6:$H$39,"&lt;&gt;")*COUNTIFS(Sweep!$A$6:$A$39,"Down",Sweep!$E$6:$E$39,$A22,Sweep!$H$6:$H$39,"&lt;&gt;")=0,"",(SUMIFS(Sweep!$N$6:$N$39,Sweep!$A$6:$A$39,"Up",Sweep!$E$6:$E$39,$A22)-SUMIFS(Sweep!$H$6:$H$39,Sweep!$A$6:$A$39,"Up",Sweep!$E$6:$E$39,$A22))-(SUMIFS(Sweep!$N$6:$N$39,Sweep!$A$6:$A$39,"Down",Sweep!$E$6:$E$39,$A22)-SUMIFS(Sweep!$H$6:$H$39,Sweep!$A$6:$A$39,"Down",Sweep!$E$6:$E$39,$A22)))</f>
        <v/>
      </c>
    </row>
    <row r="23" customFormat="false" ht="15" hidden="false" customHeight="false" outlineLevel="0" collapsed="false">
      <c r="A23" s="9" t="n">
        <v>-630</v>
      </c>
      <c r="B23" s="18" t="str">
        <f aca="false">IF(COUNTIFS(Sweep!$A$6:$A$39,"Up",Sweep!$E$6:$E$39,$A23,Sweep!$L$6:$L$39,"&lt;&gt;")*COUNTIFS(Sweep!$A$6:$A$39,"Down",Sweep!$E$6:$E$39,$A23,Sweep!$L$6:$L$39,"&lt;&gt;")*COUNTIFS(Sweep!$A$6:$A$39,"Up",Sweep!$E$6:$E$39,$A23,Sweep!$F$6:$F$39,"&lt;&gt;")*COUNTIFS(Sweep!$A$6:$A$39,"Down",Sweep!$E$6:$E$39,$A23,Sweep!$F$6:$F$39,"&lt;&gt;")=0,"",(SUMIFS(Sweep!$L$6:$L$39,Sweep!$A$6:$A$39,"Up",Sweep!$E$6:$E$39,$A23)-SUMIFS(Sweep!$F$6:$F$39,Sweep!$A$6:$A$39,"Up",Sweep!$E$6:$E$39,$A23))-(SUMIFS(Sweep!$L$6:$L$39,Sweep!$A$6:$A$39,"Down",Sweep!$E$6:$E$39,$A23)-SUMIFS(Sweep!$F$6:$F$39,Sweep!$A$6:$A$39,"Down",Sweep!$E$6:$E$39,$A23)))</f>
        <v/>
      </c>
      <c r="C23" s="18" t="str">
        <f aca="false">IF(COUNTIFS(Sweep!$A$6:$A$39,"Up",Sweep!$E$6:$E$39,$A23,Sweep!$M$6:$M$39,"&lt;&gt;")*COUNTIFS(Sweep!$A$6:$A$39,"Down",Sweep!$E$6:$E$39,$A23,Sweep!$M$6:$M$39,"&lt;&gt;")*COUNTIFS(Sweep!$A$6:$A$39,"Up",Sweep!$E$6:$E$39,$A23,Sweep!$G$6:$G$39,"&lt;&gt;")*COUNTIFS(Sweep!$A$6:$A$39,"Down",Sweep!$E$6:$E$39,$A23,Sweep!$G$6:$G$39,"&lt;&gt;")=0,"",(SUMIFS(Sweep!$M$6:$M$39,Sweep!$A$6:$A$39,"Up",Sweep!$E$6:$E$39,$A23)-SUMIFS(Sweep!$G$6:$G$39,Sweep!$A$6:$A$39,"Up",Sweep!$E$6:$E$39,$A23))-(SUMIFS(Sweep!$M$6:$M$39,Sweep!$A$6:$A$39,"Down",Sweep!$E$6:$E$39,$A23)-SUMIFS(Sweep!$G$6:$G$39,Sweep!$A$6:$A$39,"Down",Sweep!$E$6:$E$39,$A23)))</f>
        <v/>
      </c>
      <c r="D23" s="18" t="str">
        <f aca="false">IF(COUNTIFS(Sweep!$A$6:$A$39,"Up",Sweep!$E$6:$E$39,$A23,Sweep!$N$6:$N$39,"&lt;&gt;")*COUNTIFS(Sweep!$A$6:$A$39,"Down",Sweep!$E$6:$E$39,$A23,Sweep!$N$6:$N$39,"&lt;&gt;")*COUNTIFS(Sweep!$A$6:$A$39,"Up",Sweep!$E$6:$E$39,$A23,Sweep!$H$6:$H$39,"&lt;&gt;")*COUNTIFS(Sweep!$A$6:$A$39,"Down",Sweep!$E$6:$E$39,$A23,Sweep!$H$6:$H$39,"&lt;&gt;")=0,"",(SUMIFS(Sweep!$N$6:$N$39,Sweep!$A$6:$A$39,"Up",Sweep!$E$6:$E$39,$A23)-SUMIFS(Sweep!$H$6:$H$39,Sweep!$A$6:$A$39,"Up",Sweep!$E$6:$E$39,$A23))-(SUMIFS(Sweep!$N$6:$N$39,Sweep!$A$6:$A$39,"Down",Sweep!$E$6:$E$39,$A23)-SUMIFS(Sweep!$H$6:$H$39,Sweep!$A$6:$A$39,"Down",Sweep!$E$6:$E$39,$A23)))</f>
        <v/>
      </c>
    </row>
    <row r="24" customFormat="false" ht="15" hidden="false" customHeight="false" outlineLevel="0" collapsed="false">
      <c r="A24" s="9" t="n">
        <v>-620</v>
      </c>
      <c r="B24" s="18" t="str">
        <f aca="false">IF(COUNTIFS(Sweep!$A$6:$A$39,"Up",Sweep!$E$6:$E$39,$A24,Sweep!$L$6:$L$39,"&lt;&gt;")*COUNTIFS(Sweep!$A$6:$A$39,"Down",Sweep!$E$6:$E$39,$A24,Sweep!$L$6:$L$39,"&lt;&gt;")*COUNTIFS(Sweep!$A$6:$A$39,"Up",Sweep!$E$6:$E$39,$A24,Sweep!$F$6:$F$39,"&lt;&gt;")*COUNTIFS(Sweep!$A$6:$A$39,"Down",Sweep!$E$6:$E$39,$A24,Sweep!$F$6:$F$39,"&lt;&gt;")=0,"",(SUMIFS(Sweep!$L$6:$L$39,Sweep!$A$6:$A$39,"Up",Sweep!$E$6:$E$39,$A24)-SUMIFS(Sweep!$F$6:$F$39,Sweep!$A$6:$A$39,"Up",Sweep!$E$6:$E$39,$A24))-(SUMIFS(Sweep!$L$6:$L$39,Sweep!$A$6:$A$39,"Down",Sweep!$E$6:$E$39,$A24)-SUMIFS(Sweep!$F$6:$F$39,Sweep!$A$6:$A$39,"Down",Sweep!$E$6:$E$39,$A24)))</f>
        <v/>
      </c>
      <c r="C24" s="18" t="str">
        <f aca="false">IF(COUNTIFS(Sweep!$A$6:$A$39,"Up",Sweep!$E$6:$E$39,$A24,Sweep!$M$6:$M$39,"&lt;&gt;")*COUNTIFS(Sweep!$A$6:$A$39,"Down",Sweep!$E$6:$E$39,$A24,Sweep!$M$6:$M$39,"&lt;&gt;")*COUNTIFS(Sweep!$A$6:$A$39,"Up",Sweep!$E$6:$E$39,$A24,Sweep!$G$6:$G$39,"&lt;&gt;")*COUNTIFS(Sweep!$A$6:$A$39,"Down",Sweep!$E$6:$E$39,$A24,Sweep!$G$6:$G$39,"&lt;&gt;")=0,"",(SUMIFS(Sweep!$M$6:$M$39,Sweep!$A$6:$A$39,"Up",Sweep!$E$6:$E$39,$A24)-SUMIFS(Sweep!$G$6:$G$39,Sweep!$A$6:$A$39,"Up",Sweep!$E$6:$E$39,$A24))-(SUMIFS(Sweep!$M$6:$M$39,Sweep!$A$6:$A$39,"Down",Sweep!$E$6:$E$39,$A24)-SUMIFS(Sweep!$G$6:$G$39,Sweep!$A$6:$A$39,"Down",Sweep!$E$6:$E$39,$A24)))</f>
        <v/>
      </c>
      <c r="D24" s="18" t="str">
        <f aca="false">IF(COUNTIFS(Sweep!$A$6:$A$39,"Up",Sweep!$E$6:$E$39,$A24,Sweep!$N$6:$N$39,"&lt;&gt;")*COUNTIFS(Sweep!$A$6:$A$39,"Down",Sweep!$E$6:$E$39,$A24,Sweep!$N$6:$N$39,"&lt;&gt;")*COUNTIFS(Sweep!$A$6:$A$39,"Up",Sweep!$E$6:$E$39,$A24,Sweep!$H$6:$H$39,"&lt;&gt;")*COUNTIFS(Sweep!$A$6:$A$39,"Down",Sweep!$E$6:$E$39,$A24,Sweep!$H$6:$H$39,"&lt;&gt;")=0,"",(SUMIFS(Sweep!$N$6:$N$39,Sweep!$A$6:$A$39,"Up",Sweep!$E$6:$E$39,$A24)-SUMIFS(Sweep!$H$6:$H$39,Sweep!$A$6:$A$39,"Up",Sweep!$E$6:$E$39,$A24))-(SUMIFS(Sweep!$N$6:$N$39,Sweep!$A$6:$A$39,"Down",Sweep!$E$6:$E$39,$A24)-SUMIFS(Sweep!$H$6:$H$39,Sweep!$A$6:$A$39,"Down",Sweep!$E$6:$E$39,$A24)))</f>
        <v/>
      </c>
    </row>
    <row r="25" customFormat="false" ht="15" hidden="false" customHeight="false" outlineLevel="0" collapsed="false">
      <c r="A25" s="9" t="n">
        <v>-610</v>
      </c>
      <c r="B25" s="18" t="str">
        <f aca="false">IF(COUNTIFS(Sweep!$A$6:$A$39,"Up",Sweep!$E$6:$E$39,$A25,Sweep!$L$6:$L$39,"&lt;&gt;")*COUNTIFS(Sweep!$A$6:$A$39,"Down",Sweep!$E$6:$E$39,$A25,Sweep!$L$6:$L$39,"&lt;&gt;")*COUNTIFS(Sweep!$A$6:$A$39,"Up",Sweep!$E$6:$E$39,$A25,Sweep!$F$6:$F$39,"&lt;&gt;")*COUNTIFS(Sweep!$A$6:$A$39,"Down",Sweep!$E$6:$E$39,$A25,Sweep!$F$6:$F$39,"&lt;&gt;")=0,"",(SUMIFS(Sweep!$L$6:$L$39,Sweep!$A$6:$A$39,"Up",Sweep!$E$6:$E$39,$A25)-SUMIFS(Sweep!$F$6:$F$39,Sweep!$A$6:$A$39,"Up",Sweep!$E$6:$E$39,$A25))-(SUMIFS(Sweep!$L$6:$L$39,Sweep!$A$6:$A$39,"Down",Sweep!$E$6:$E$39,$A25)-SUMIFS(Sweep!$F$6:$F$39,Sweep!$A$6:$A$39,"Down",Sweep!$E$6:$E$39,$A25)))</f>
        <v/>
      </c>
      <c r="C25" s="18" t="str">
        <f aca="false">IF(COUNTIFS(Sweep!$A$6:$A$39,"Up",Sweep!$E$6:$E$39,$A25,Sweep!$M$6:$M$39,"&lt;&gt;")*COUNTIFS(Sweep!$A$6:$A$39,"Down",Sweep!$E$6:$E$39,$A25,Sweep!$M$6:$M$39,"&lt;&gt;")*COUNTIFS(Sweep!$A$6:$A$39,"Up",Sweep!$E$6:$E$39,$A25,Sweep!$G$6:$G$39,"&lt;&gt;")*COUNTIFS(Sweep!$A$6:$A$39,"Down",Sweep!$E$6:$E$39,$A25,Sweep!$G$6:$G$39,"&lt;&gt;")=0,"",(SUMIFS(Sweep!$M$6:$M$39,Sweep!$A$6:$A$39,"Up",Sweep!$E$6:$E$39,$A25)-SUMIFS(Sweep!$G$6:$G$39,Sweep!$A$6:$A$39,"Up",Sweep!$E$6:$E$39,$A25))-(SUMIFS(Sweep!$M$6:$M$39,Sweep!$A$6:$A$39,"Down",Sweep!$E$6:$E$39,$A25)-SUMIFS(Sweep!$G$6:$G$39,Sweep!$A$6:$A$39,"Down",Sweep!$E$6:$E$39,$A25)))</f>
        <v/>
      </c>
      <c r="D25" s="18" t="str">
        <f aca="false">IF(COUNTIFS(Sweep!$A$6:$A$39,"Up",Sweep!$E$6:$E$39,$A25,Sweep!$N$6:$N$39,"&lt;&gt;")*COUNTIFS(Sweep!$A$6:$A$39,"Down",Sweep!$E$6:$E$39,$A25,Sweep!$N$6:$N$39,"&lt;&gt;")*COUNTIFS(Sweep!$A$6:$A$39,"Up",Sweep!$E$6:$E$39,$A25,Sweep!$H$6:$H$39,"&lt;&gt;")*COUNTIFS(Sweep!$A$6:$A$39,"Down",Sweep!$E$6:$E$39,$A25,Sweep!$H$6:$H$39,"&lt;&gt;")=0,"",(SUMIFS(Sweep!$N$6:$N$39,Sweep!$A$6:$A$39,"Up",Sweep!$E$6:$E$39,$A25)-SUMIFS(Sweep!$H$6:$H$39,Sweep!$A$6:$A$39,"Up",Sweep!$E$6:$E$39,$A25))-(SUMIFS(Sweep!$N$6:$N$39,Sweep!$A$6:$A$39,"Down",Sweep!$E$6:$E$39,$A25)-SUMIFS(Sweep!$H$6:$H$39,Sweep!$A$6:$A$39,"Down",Sweep!$E$6:$E$39,$A25)))</f>
        <v/>
      </c>
    </row>
    <row r="26" customFormat="false" ht="15" hidden="false" customHeight="false" outlineLevel="0" collapsed="false">
      <c r="A26" s="9" t="n">
        <v>-600</v>
      </c>
      <c r="B26" s="18" t="str">
        <f aca="false">IF(COUNTIFS(Sweep!$A$6:$A$39,"Up",Sweep!$E$6:$E$39,$A26,Sweep!$L$6:$L$39,"&lt;&gt;")*COUNTIFS(Sweep!$A$6:$A$39,"Down",Sweep!$E$6:$E$39,$A26,Sweep!$L$6:$L$39,"&lt;&gt;")*COUNTIFS(Sweep!$A$6:$A$39,"Up",Sweep!$E$6:$E$39,$A26,Sweep!$F$6:$F$39,"&lt;&gt;")*COUNTIFS(Sweep!$A$6:$A$39,"Down",Sweep!$E$6:$E$39,$A26,Sweep!$F$6:$F$39,"&lt;&gt;")=0,"",(SUMIFS(Sweep!$L$6:$L$39,Sweep!$A$6:$A$39,"Up",Sweep!$E$6:$E$39,$A26)-SUMIFS(Sweep!$F$6:$F$39,Sweep!$A$6:$A$39,"Up",Sweep!$E$6:$E$39,$A26))-(SUMIFS(Sweep!$L$6:$L$39,Sweep!$A$6:$A$39,"Down",Sweep!$E$6:$E$39,$A26)-SUMIFS(Sweep!$F$6:$F$39,Sweep!$A$6:$A$39,"Down",Sweep!$E$6:$E$39,$A26)))</f>
        <v/>
      </c>
      <c r="C26" s="18" t="str">
        <f aca="false">IF(COUNTIFS(Sweep!$A$6:$A$39,"Up",Sweep!$E$6:$E$39,$A26,Sweep!$M$6:$M$39,"&lt;&gt;")*COUNTIFS(Sweep!$A$6:$A$39,"Down",Sweep!$E$6:$E$39,$A26,Sweep!$M$6:$M$39,"&lt;&gt;")*COUNTIFS(Sweep!$A$6:$A$39,"Up",Sweep!$E$6:$E$39,$A26,Sweep!$G$6:$G$39,"&lt;&gt;")*COUNTIFS(Sweep!$A$6:$A$39,"Down",Sweep!$E$6:$E$39,$A26,Sweep!$G$6:$G$39,"&lt;&gt;")=0,"",(SUMIFS(Sweep!$M$6:$M$39,Sweep!$A$6:$A$39,"Up",Sweep!$E$6:$E$39,$A26)-SUMIFS(Sweep!$G$6:$G$39,Sweep!$A$6:$A$39,"Up",Sweep!$E$6:$E$39,$A26))-(SUMIFS(Sweep!$M$6:$M$39,Sweep!$A$6:$A$39,"Down",Sweep!$E$6:$E$39,$A26)-SUMIFS(Sweep!$G$6:$G$39,Sweep!$A$6:$A$39,"Down",Sweep!$E$6:$E$39,$A26)))</f>
        <v/>
      </c>
      <c r="D26" s="18" t="str">
        <f aca="false">IF(COUNTIFS(Sweep!$A$6:$A$39,"Up",Sweep!$E$6:$E$39,$A26,Sweep!$N$6:$N$39,"&lt;&gt;")*COUNTIFS(Sweep!$A$6:$A$39,"Down",Sweep!$E$6:$E$39,$A26,Sweep!$N$6:$N$39,"&lt;&gt;")*COUNTIFS(Sweep!$A$6:$A$39,"Up",Sweep!$E$6:$E$39,$A26,Sweep!$H$6:$H$39,"&lt;&gt;")*COUNTIFS(Sweep!$A$6:$A$39,"Down",Sweep!$E$6:$E$39,$A26,Sweep!$H$6:$H$39,"&lt;&gt;")=0,"",(SUMIFS(Sweep!$N$6:$N$39,Sweep!$A$6:$A$39,"Up",Sweep!$E$6:$E$39,$A26)-SUMIFS(Sweep!$H$6:$H$39,Sweep!$A$6:$A$39,"Up",Sweep!$E$6:$E$39,$A26))-(SUMIFS(Sweep!$N$6:$N$39,Sweep!$A$6:$A$39,"Down",Sweep!$E$6:$E$39,$A26)-SUMIFS(Sweep!$H$6:$H$39,Sweep!$A$6:$A$39,"Down",Sweep!$E$6:$E$39,$A26)))</f>
        <v/>
      </c>
    </row>
    <row r="27" customFormat="false" ht="15" hidden="false" customHeight="false" outlineLevel="0" collapsed="false">
      <c r="A27" s="9" t="n">
        <v>-590</v>
      </c>
      <c r="B27" s="18" t="str">
        <f aca="false">IF(COUNTIFS(Sweep!$A$6:$A$39,"Up",Sweep!$E$6:$E$39,$A27,Sweep!$L$6:$L$39,"&lt;&gt;")*COUNTIFS(Sweep!$A$6:$A$39,"Down",Sweep!$E$6:$E$39,$A27,Sweep!$L$6:$L$39,"&lt;&gt;")*COUNTIFS(Sweep!$A$6:$A$39,"Up",Sweep!$E$6:$E$39,$A27,Sweep!$F$6:$F$39,"&lt;&gt;")*COUNTIFS(Sweep!$A$6:$A$39,"Down",Sweep!$E$6:$E$39,$A27,Sweep!$F$6:$F$39,"&lt;&gt;")=0,"",(SUMIFS(Sweep!$L$6:$L$39,Sweep!$A$6:$A$39,"Up",Sweep!$E$6:$E$39,$A27)-SUMIFS(Sweep!$F$6:$F$39,Sweep!$A$6:$A$39,"Up",Sweep!$E$6:$E$39,$A27))-(SUMIFS(Sweep!$L$6:$L$39,Sweep!$A$6:$A$39,"Down",Sweep!$E$6:$E$39,$A27)-SUMIFS(Sweep!$F$6:$F$39,Sweep!$A$6:$A$39,"Down",Sweep!$E$6:$E$39,$A27)))</f>
        <v/>
      </c>
      <c r="C27" s="18" t="str">
        <f aca="false">IF(COUNTIFS(Sweep!$A$6:$A$39,"Up",Sweep!$E$6:$E$39,$A27,Sweep!$M$6:$M$39,"&lt;&gt;")*COUNTIFS(Sweep!$A$6:$A$39,"Down",Sweep!$E$6:$E$39,$A27,Sweep!$M$6:$M$39,"&lt;&gt;")*COUNTIFS(Sweep!$A$6:$A$39,"Up",Sweep!$E$6:$E$39,$A27,Sweep!$G$6:$G$39,"&lt;&gt;")*COUNTIFS(Sweep!$A$6:$A$39,"Down",Sweep!$E$6:$E$39,$A27,Sweep!$G$6:$G$39,"&lt;&gt;")=0,"",(SUMIFS(Sweep!$M$6:$M$39,Sweep!$A$6:$A$39,"Up",Sweep!$E$6:$E$39,$A27)-SUMIFS(Sweep!$G$6:$G$39,Sweep!$A$6:$A$39,"Up",Sweep!$E$6:$E$39,$A27))-(SUMIFS(Sweep!$M$6:$M$39,Sweep!$A$6:$A$39,"Down",Sweep!$E$6:$E$39,$A27)-SUMIFS(Sweep!$G$6:$G$39,Sweep!$A$6:$A$39,"Down",Sweep!$E$6:$E$39,$A27)))</f>
        <v/>
      </c>
      <c r="D27" s="18" t="str">
        <f aca="false">IF(COUNTIFS(Sweep!$A$6:$A$39,"Up",Sweep!$E$6:$E$39,$A27,Sweep!$N$6:$N$39,"&lt;&gt;")*COUNTIFS(Sweep!$A$6:$A$39,"Down",Sweep!$E$6:$E$39,$A27,Sweep!$N$6:$N$39,"&lt;&gt;")*COUNTIFS(Sweep!$A$6:$A$39,"Up",Sweep!$E$6:$E$39,$A27,Sweep!$H$6:$H$39,"&lt;&gt;")*COUNTIFS(Sweep!$A$6:$A$39,"Down",Sweep!$E$6:$E$39,$A27,Sweep!$H$6:$H$39,"&lt;&gt;")=0,"",(SUMIFS(Sweep!$N$6:$N$39,Sweep!$A$6:$A$39,"Up",Sweep!$E$6:$E$39,$A27)-SUMIFS(Sweep!$H$6:$H$39,Sweep!$A$6:$A$39,"Up",Sweep!$E$6:$E$39,$A27))-(SUMIFS(Sweep!$N$6:$N$39,Sweep!$A$6:$A$39,"Down",Sweep!$E$6:$E$39,$A27)-SUMIFS(Sweep!$H$6:$H$39,Sweep!$A$6:$A$39,"Down",Sweep!$E$6:$E$39,$A27)))</f>
        <v/>
      </c>
    </row>
    <row r="28" customFormat="false" ht="15" hidden="false" customHeight="false" outlineLevel="0" collapsed="false">
      <c r="A28" s="9" t="n">
        <v>-580</v>
      </c>
      <c r="B28" s="18" t="str">
        <f aca="false">IF(COUNTIFS(Sweep!$A$6:$A$39,"Up",Sweep!$E$6:$E$39,$A28,Sweep!$L$6:$L$39,"&lt;&gt;")*COUNTIFS(Sweep!$A$6:$A$39,"Down",Sweep!$E$6:$E$39,$A28,Sweep!$L$6:$L$39,"&lt;&gt;")*COUNTIFS(Sweep!$A$6:$A$39,"Up",Sweep!$E$6:$E$39,$A28,Sweep!$F$6:$F$39,"&lt;&gt;")*COUNTIFS(Sweep!$A$6:$A$39,"Down",Sweep!$E$6:$E$39,$A28,Sweep!$F$6:$F$39,"&lt;&gt;")=0,"",(SUMIFS(Sweep!$L$6:$L$39,Sweep!$A$6:$A$39,"Up",Sweep!$E$6:$E$39,$A28)-SUMIFS(Sweep!$F$6:$F$39,Sweep!$A$6:$A$39,"Up",Sweep!$E$6:$E$39,$A28))-(SUMIFS(Sweep!$L$6:$L$39,Sweep!$A$6:$A$39,"Down",Sweep!$E$6:$E$39,$A28)-SUMIFS(Sweep!$F$6:$F$39,Sweep!$A$6:$A$39,"Down",Sweep!$E$6:$E$39,$A28)))</f>
        <v/>
      </c>
      <c r="C28" s="18" t="str">
        <f aca="false">IF(COUNTIFS(Sweep!$A$6:$A$39,"Up",Sweep!$E$6:$E$39,$A28,Sweep!$M$6:$M$39,"&lt;&gt;")*COUNTIFS(Sweep!$A$6:$A$39,"Down",Sweep!$E$6:$E$39,$A28,Sweep!$M$6:$M$39,"&lt;&gt;")*COUNTIFS(Sweep!$A$6:$A$39,"Up",Sweep!$E$6:$E$39,$A28,Sweep!$G$6:$G$39,"&lt;&gt;")*COUNTIFS(Sweep!$A$6:$A$39,"Down",Sweep!$E$6:$E$39,$A28,Sweep!$G$6:$G$39,"&lt;&gt;")=0,"",(SUMIFS(Sweep!$M$6:$M$39,Sweep!$A$6:$A$39,"Up",Sweep!$E$6:$E$39,$A28)-SUMIFS(Sweep!$G$6:$G$39,Sweep!$A$6:$A$39,"Up",Sweep!$E$6:$E$39,$A28))-(SUMIFS(Sweep!$M$6:$M$39,Sweep!$A$6:$A$39,"Down",Sweep!$E$6:$E$39,$A28)-SUMIFS(Sweep!$G$6:$G$39,Sweep!$A$6:$A$39,"Down",Sweep!$E$6:$E$39,$A28)))</f>
        <v/>
      </c>
      <c r="D28" s="18" t="str">
        <f aca="false">IF(COUNTIFS(Sweep!$A$6:$A$39,"Up",Sweep!$E$6:$E$39,$A28,Sweep!$N$6:$N$39,"&lt;&gt;")*COUNTIFS(Sweep!$A$6:$A$39,"Down",Sweep!$E$6:$E$39,$A28,Sweep!$N$6:$N$39,"&lt;&gt;")*COUNTIFS(Sweep!$A$6:$A$39,"Up",Sweep!$E$6:$E$39,$A28,Sweep!$H$6:$H$39,"&lt;&gt;")*COUNTIFS(Sweep!$A$6:$A$39,"Down",Sweep!$E$6:$E$39,$A28,Sweep!$H$6:$H$39,"&lt;&gt;")=0,"",(SUMIFS(Sweep!$N$6:$N$39,Sweep!$A$6:$A$39,"Up",Sweep!$E$6:$E$39,$A28)-SUMIFS(Sweep!$H$6:$H$39,Sweep!$A$6:$A$39,"Up",Sweep!$E$6:$E$39,$A28))-(SUMIFS(Sweep!$N$6:$N$39,Sweep!$A$6:$A$39,"Down",Sweep!$E$6:$E$39,$A28)-SUMIFS(Sweep!$H$6:$H$39,Sweep!$A$6:$A$39,"Down",Sweep!$E$6:$E$39,$A28)))</f>
        <v/>
      </c>
    </row>
    <row r="29" customFormat="false" ht="15" hidden="false" customHeight="false" outlineLevel="0" collapsed="false">
      <c r="A29" s="9" t="n">
        <v>-570</v>
      </c>
      <c r="B29" s="18" t="str">
        <f aca="false">IF(COUNTIFS(Sweep!$A$6:$A$39,"Up",Sweep!$E$6:$E$39,$A29,Sweep!$L$6:$L$39,"&lt;&gt;")*COUNTIFS(Sweep!$A$6:$A$39,"Down",Sweep!$E$6:$E$39,$A29,Sweep!$L$6:$L$39,"&lt;&gt;")*COUNTIFS(Sweep!$A$6:$A$39,"Up",Sweep!$E$6:$E$39,$A29,Sweep!$F$6:$F$39,"&lt;&gt;")*COUNTIFS(Sweep!$A$6:$A$39,"Down",Sweep!$E$6:$E$39,$A29,Sweep!$F$6:$F$39,"&lt;&gt;")=0,"",(SUMIFS(Sweep!$L$6:$L$39,Sweep!$A$6:$A$39,"Up",Sweep!$E$6:$E$39,$A29)-SUMIFS(Sweep!$F$6:$F$39,Sweep!$A$6:$A$39,"Up",Sweep!$E$6:$E$39,$A29))-(SUMIFS(Sweep!$L$6:$L$39,Sweep!$A$6:$A$39,"Down",Sweep!$E$6:$E$39,$A29)-SUMIFS(Sweep!$F$6:$F$39,Sweep!$A$6:$A$39,"Down",Sweep!$E$6:$E$39,$A29)))</f>
        <v/>
      </c>
      <c r="C29" s="18" t="str">
        <f aca="false">IF(COUNTIFS(Sweep!$A$6:$A$39,"Up",Sweep!$E$6:$E$39,$A29,Sweep!$M$6:$M$39,"&lt;&gt;")*COUNTIFS(Sweep!$A$6:$A$39,"Down",Sweep!$E$6:$E$39,$A29,Sweep!$M$6:$M$39,"&lt;&gt;")*COUNTIFS(Sweep!$A$6:$A$39,"Up",Sweep!$E$6:$E$39,$A29,Sweep!$G$6:$G$39,"&lt;&gt;")*COUNTIFS(Sweep!$A$6:$A$39,"Down",Sweep!$E$6:$E$39,$A29,Sweep!$G$6:$G$39,"&lt;&gt;")=0,"",(SUMIFS(Sweep!$M$6:$M$39,Sweep!$A$6:$A$39,"Up",Sweep!$E$6:$E$39,$A29)-SUMIFS(Sweep!$G$6:$G$39,Sweep!$A$6:$A$39,"Up",Sweep!$E$6:$E$39,$A29))-(SUMIFS(Sweep!$M$6:$M$39,Sweep!$A$6:$A$39,"Down",Sweep!$E$6:$E$39,$A29)-SUMIFS(Sweep!$G$6:$G$39,Sweep!$A$6:$A$39,"Down",Sweep!$E$6:$E$39,$A29)))</f>
        <v/>
      </c>
      <c r="D29" s="18" t="str">
        <f aca="false">IF(COUNTIFS(Sweep!$A$6:$A$39,"Up",Sweep!$E$6:$E$39,$A29,Sweep!$N$6:$N$39,"&lt;&gt;")*COUNTIFS(Sweep!$A$6:$A$39,"Down",Sweep!$E$6:$E$39,$A29,Sweep!$N$6:$N$39,"&lt;&gt;")*COUNTIFS(Sweep!$A$6:$A$39,"Up",Sweep!$E$6:$E$39,$A29,Sweep!$H$6:$H$39,"&lt;&gt;")*COUNTIFS(Sweep!$A$6:$A$39,"Down",Sweep!$E$6:$E$39,$A29,Sweep!$H$6:$H$39,"&lt;&gt;")=0,"",(SUMIFS(Sweep!$N$6:$N$39,Sweep!$A$6:$A$39,"Up",Sweep!$E$6:$E$39,$A29)-SUMIFS(Sweep!$H$6:$H$39,Sweep!$A$6:$A$39,"Up",Sweep!$E$6:$E$39,$A29))-(SUMIFS(Sweep!$N$6:$N$39,Sweep!$A$6:$A$39,"Down",Sweep!$E$6:$E$39,$A29)-SUMIFS(Sweep!$H$6:$H$39,Sweep!$A$6:$A$39,"Down",Sweep!$E$6:$E$39,$A29)))</f>
        <v/>
      </c>
    </row>
    <row r="30" customFormat="false" ht="15" hidden="false" customHeight="false" outlineLevel="0" collapsed="false">
      <c r="A30" s="2" t="s">
        <v>131</v>
      </c>
      <c r="B30" s="16" t="str">
        <f aca="false">IF(COUNT(B13:B29)=0,"",(SUMIF(B13:B29,"&gt;0")-SUMIF(B13:B29,"&lt;0"))/COUNT(B13:B29))</f>
        <v/>
      </c>
      <c r="C30" s="16" t="str">
        <f aca="false">IF(COUNT(C13:C29)=0,"",(SUMIF(C13:C29,"&gt;0")-SUMIF(C13:C29,"&lt;0"))/COUNT(C13:C29))</f>
        <v/>
      </c>
      <c r="D30" s="16" t="str">
        <f aca="false">IF(COUNT(D13:D29)=0,"",(SUMIF(D13:D29,"&gt;0")-SUMIF(D13:D29,"&lt;0"))/COUNT(D13:D29))</f>
        <v/>
      </c>
    </row>
    <row r="31" customFormat="false" ht="15" hidden="false" customHeight="false" outlineLevel="0" collapsed="false">
      <c r="A31" s="2" t="s">
        <v>132</v>
      </c>
      <c r="B31" s="16" t="str">
        <f aca="false">IF(COUNT(B13:B29)=0,"",MAX(MAX(B13:B29),-MIN(B13:B29)))</f>
        <v/>
      </c>
      <c r="C31" s="16" t="str">
        <f aca="false">IF(COUNT(C13:C29)=0,"",MAX(MAX(C13:C29),-MIN(C13:C29)))</f>
        <v/>
      </c>
      <c r="D31" s="16" t="str">
        <f aca="false">IF(COUNT(D13:D29)=0,"",MAX(MAX(D13:D29),-MIN(D13:D29)))</f>
        <v/>
      </c>
    </row>
    <row r="32" customFormat="false" ht="15" hidden="false" customHeight="false" outlineLevel="0" collapsed="false">
      <c r="A32" s="2" t="s">
        <v>133</v>
      </c>
      <c r="B32" s="16" t="str">
        <f aca="false">IF(B31="","",B31*Setup!$B$40)</f>
        <v/>
      </c>
      <c r="C32" s="16" t="str">
        <f aca="false">IF(C31="","",C31*Setup!$B$40)</f>
        <v/>
      </c>
      <c r="D32" s="16" t="str">
        <f aca="false">IF(D31="","",D31*Setup!$B$40)</f>
        <v/>
      </c>
    </row>
    <row r="35" customFormat="false" ht="15" hidden="false" customHeight="false" outlineLevel="0" collapsed="false">
      <c r="A35" s="2" t="s">
        <v>134</v>
      </c>
    </row>
    <row r="36" customFormat="false" ht="15" hidden="false" customHeight="false" outlineLevel="0" collapsed="false">
      <c r="A36" s="8" t="s">
        <v>39</v>
      </c>
      <c r="B36" s="8" t="s">
        <v>135</v>
      </c>
      <c r="C36" s="8" t="s">
        <v>136</v>
      </c>
      <c r="D36" s="8" t="s">
        <v>137</v>
      </c>
    </row>
    <row r="37" customFormat="false" ht="15" hidden="false" customHeight="false" outlineLevel="0" collapsed="false">
      <c r="A37" s="9" t="n">
        <v>-730</v>
      </c>
      <c r="B37" s="13" t="str">
        <f aca="false">IF(COUNT(Repeatability!$L$6:$L$8)&lt;2,"",STDEV(Repeatability!$L$6:$L$8))</f>
        <v/>
      </c>
      <c r="C37" s="13" t="str">
        <f aca="false">IF(COUNT(Repeatability!$M$6:$M$8)&lt;2,"",STDEV(Repeatability!$M$6:$M$8))</f>
        <v/>
      </c>
      <c r="D37" s="13" t="str">
        <f aca="false">IF(COUNT(Repeatability!$N$6:$N$8)&lt;2,"",STDEV(Repeatability!$N$6:$N$8))</f>
        <v/>
      </c>
    </row>
    <row r="38" customFormat="false" ht="15" hidden="false" customHeight="false" outlineLevel="0" collapsed="false">
      <c r="A38" s="9" t="n">
        <v>-650</v>
      </c>
      <c r="B38" s="13" t="str">
        <f aca="false">IF(COUNT(Repeatability!$L$9:$L$11)&lt;2,"",STDEV(Repeatability!$L$9:$L$11))</f>
        <v/>
      </c>
      <c r="C38" s="13" t="str">
        <f aca="false">IF(COUNT(Repeatability!$M$9:$M$11)&lt;2,"",STDEV(Repeatability!$M$9:$M$11))</f>
        <v/>
      </c>
      <c r="D38" s="13" t="str">
        <f aca="false">IF(COUNT(Repeatability!$N$9:$N$11)&lt;2,"",STDEV(Repeatability!$N$9:$N$11))</f>
        <v/>
      </c>
    </row>
    <row r="39" customFormat="false" ht="15" hidden="false" customHeight="false" outlineLevel="0" collapsed="false">
      <c r="A39" s="9" t="n">
        <v>-590</v>
      </c>
      <c r="B39" s="13" t="str">
        <f aca="false">IF(COUNT(Repeatability!$L$12:$L$14)&lt;2,"",STDEV(Repeatability!$L$12:$L$14))</f>
        <v/>
      </c>
      <c r="C39" s="13" t="str">
        <f aca="false">IF(COUNT(Repeatability!$M$12:$M$14)&lt;2,"",STDEV(Repeatability!$M$12:$M$14))</f>
        <v/>
      </c>
      <c r="D39" s="13" t="str">
        <f aca="false">IF(COUNT(Repeatability!$N$12:$N$14)&lt;2,"",STDEV(Repeatability!$N$12:$N$14))</f>
        <v/>
      </c>
    </row>
    <row r="40" customFormat="false" ht="15" hidden="false" customHeight="false" outlineLevel="0" collapsed="false">
      <c r="A40" s="2" t="s">
        <v>138</v>
      </c>
      <c r="B40" s="16" t="str">
        <f aca="false">IF(COUNT(B37:B39)=0,"",MAX(B37:B39)*Setup!$B$40)</f>
        <v/>
      </c>
      <c r="C40" s="16" t="str">
        <f aca="false">IF(COUNT(C37:C39)=0,"",MAX(C37:C39)*Setup!$B$40)</f>
        <v/>
      </c>
      <c r="D40" s="16" t="str">
        <f aca="false">IF(COUNT(D37:D39)=0,"",MAX(D37:D39)*Setup!$B$40)</f>
        <v/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2026-09-30T05:24:48Z</dcterms:created>
  <dc:creator>openpyxl</dc:creator>
  <dc:description/>
  <dc:language>en-US</dc:language>
  <cp:lastModifiedBy/>
  <dcterms:modified xsi:type="dcterms:W3CDTF">2026-09-30T05:24:48Z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