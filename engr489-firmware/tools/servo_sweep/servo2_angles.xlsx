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o 2 (D1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</font>
    <font>
      <name val="Arial"/>
      <color rgb="000000FF"/>
    </font>
    <font>
      <name val="Arial"/>
      <i val="1"/>
      <color rgb="0080808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  <xf numFmtId="1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E4" authorId="0" shapeId="0">
      <text>
        <t>ASSUMED: bicep joint-to-joint length (L_UP = 180 mm). Measure it and replace this.</t>
      </text>
    </comment>
    <comment ref="E5" authorId="0" shapeId="0">
      <text>
        <t>From you: 'servo shaft axis is 10cm down from the top wood'.</t>
      </text>
    </comment>
    <comment ref="E6" authorId="0" shapeId="0">
      <text>
        <t>From your data: flat reading 9 cm vs shaft at 10 cm → corner sits 1 cm above the axis.</t>
      </text>
    </comment>
    <comment ref="E7" authorId="0" shapeId="0">
      <text>
        <t>delta_servo/config.h CAL[1].</t>
      </text>
    </comment>
    <comment ref="E8" authorId="0" shapeId="0">
      <text>
        <t>delta_servo/config.h CAL[1].</t>
      </text>
    </comment>
    <comment ref="G26" authorId="0" shapeId="0">
      <text>
        <t>You marked 1350 µs as 'approx flat'.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3" customWidth="1" min="4" max="4"/>
    <col width="11" customWidth="1" min="5" max="5"/>
    <col width="12" customWidth="1" min="6" max="6"/>
    <col width="11" customWidth="1" min="7" max="7"/>
    <col width="3" customWidth="1" min="8" max="8"/>
    <col width="36" customWidth="1" min="9" max="9"/>
    <col width="14" customWidth="1" min="10" max="10"/>
  </cols>
  <sheetData>
    <row r="1">
      <c r="A1" s="1" t="inlineStr">
        <is>
          <t>Servo 2 (D10) — measured heights converted to angles</t>
        </is>
      </c>
    </row>
    <row r="2">
      <c r="A2" s="2" t="inlineStr">
        <is>
          <t>θ = asin((d − D) / √(R² + h²)) + atan(h / R), positive = bicep DOWN. Change the yellow cells and every angle updates.</t>
        </is>
      </c>
    </row>
    <row r="4">
      <c r="A4" s="3" t="inlineStr">
        <is>
          <t>R: shaft centre → measured corner, along the arm (cm)</t>
        </is>
      </c>
      <c r="E4" s="4" t="n">
        <v>18</v>
      </c>
      <c r="F4" s="5" t="inlineStr">
        <is>
          <t>ASSUMED: bicep joint-to-joint length (L_UP = 180 mm). Measure it and replace this.</t>
        </is>
      </c>
    </row>
    <row r="5">
      <c r="A5" s="3" t="inlineStr">
        <is>
          <t>D: shaft axis depth below the top wood (cm)</t>
        </is>
      </c>
      <c r="E5" s="4" t="n">
        <v>10</v>
      </c>
      <c r="F5" s="5" t="inlineStr">
        <is>
          <t>From you: 'servo shaft axis is 10cm down from the top wood'.</t>
        </is>
      </c>
    </row>
    <row r="6">
      <c r="A6" s="3" t="inlineStr">
        <is>
          <t>h: corner height above the shaft axis when flat (cm)</t>
        </is>
      </c>
      <c r="E6" s="4" t="n">
        <v>1</v>
      </c>
      <c r="F6" s="5" t="inlineStr">
        <is>
          <t>From your data: flat reading 9 cm vs shaft at 10 cm → corner sits 1 cm above the axis.</t>
        </is>
      </c>
    </row>
    <row r="7">
      <c r="A7" s="3" t="inlineStr">
        <is>
          <t>config.h centre_us (arm 2)</t>
        </is>
      </c>
      <c r="E7" s="6" t="n">
        <v>1385</v>
      </c>
      <c r="F7" s="5" t="inlineStr">
        <is>
          <t>delta_servo/config.h CAL[1].</t>
        </is>
      </c>
    </row>
    <row r="8">
      <c r="A8" s="3" t="inlineStr">
        <is>
          <t>config.h us_per_deg (arm 2)</t>
        </is>
      </c>
      <c r="E8" s="6" t="n">
        <v>10.0481</v>
      </c>
      <c r="F8" s="5" t="inlineStr">
        <is>
          <t>delta_servo/config.h CAL[1].</t>
        </is>
      </c>
    </row>
    <row r="10" ht="30" customHeight="1">
      <c r="A10" s="7" t="inlineStr">
        <is>
          <t>Pulse (µs)</t>
        </is>
      </c>
      <c r="B10" s="7" t="inlineStr">
        <is>
          <t>Height d (cm)</t>
        </is>
      </c>
      <c r="C10" s="7" t="inlineStr">
        <is>
          <t>Measured θ (°)</t>
        </is>
      </c>
      <c r="D10" s="7" t="inlineStr">
        <is>
          <t>θ config.h expects (°)</t>
        </is>
      </c>
      <c r="E10" s="7" t="inlineStr">
        <is>
          <t>Difference (°)</t>
        </is>
      </c>
      <c r="F10" s="7" t="inlineStr">
        <is>
          <t>Straight-line fit (°)</t>
        </is>
      </c>
      <c r="G10" s="7" t="inlineStr">
        <is>
          <t>Off the fit by (°)</t>
        </is>
      </c>
    </row>
    <row r="11">
      <c r="A11" s="8" t="n">
        <v>1200</v>
      </c>
      <c r="B11" s="9" t="n">
        <v>4.3</v>
      </c>
      <c r="C11" s="10">
        <f>DEGREES(ASIN((B11-$E$5)/SQRT($E$4^2+$E$6^2))+ATAN($E$6/$E$4))</f>
        <v/>
      </c>
      <c r="D11" s="10">
        <f>(A11-$E$7)/$E$8</f>
        <v/>
      </c>
      <c r="E11" s="10">
        <f>C11-D11</f>
        <v/>
      </c>
      <c r="F11" s="10">
        <f>$J$12*A11+$J$13</f>
        <v/>
      </c>
      <c r="G11" s="10">
        <f>C11-F11</f>
        <v/>
      </c>
      <c r="I11" s="11" t="inlineStr">
        <is>
          <t>Results</t>
        </is>
      </c>
    </row>
    <row r="12">
      <c r="A12" s="8" t="n">
        <v>1210</v>
      </c>
      <c r="B12" s="9" t="n">
        <v>4.5</v>
      </c>
      <c r="C12" s="10">
        <f>DEGREES(ASIN((B12-$E$5)/SQRT($E$4^2+$E$6^2))+ATAN($E$6/$E$4))</f>
        <v/>
      </c>
      <c r="D12" s="10">
        <f>(A12-$E$7)/$E$8</f>
        <v/>
      </c>
      <c r="E12" s="10">
        <f>C12-D12</f>
        <v/>
      </c>
      <c r="F12" s="10">
        <f>$J$12*A12+$J$13</f>
        <v/>
      </c>
      <c r="G12" s="10">
        <f>C12-F12</f>
        <v/>
      </c>
      <c r="I12" s="3" t="inlineStr">
        <is>
          <t>Fit slope (° per µs)</t>
        </is>
      </c>
      <c r="J12" s="12">
        <f>SLOPE(C11:C86,A11:A86)</f>
        <v/>
      </c>
    </row>
    <row r="13">
      <c r="A13" s="8" t="n">
        <v>1220</v>
      </c>
      <c r="B13" s="9" t="n">
        <v>5</v>
      </c>
      <c r="C13" s="10">
        <f>DEGREES(ASIN((B13-$E$5)/SQRT($E$4^2+$E$6^2))+ATAN($E$6/$E$4))</f>
        <v/>
      </c>
      <c r="D13" s="10">
        <f>(A13-$E$7)/$E$8</f>
        <v/>
      </c>
      <c r="E13" s="10">
        <f>C13-D13</f>
        <v/>
      </c>
      <c r="F13" s="10">
        <f>$J$12*A13+$J$13</f>
        <v/>
      </c>
      <c r="G13" s="10">
        <f>C13-F13</f>
        <v/>
      </c>
      <c r="I13" s="3" t="inlineStr">
        <is>
          <t>Fit intercept (°)</t>
        </is>
      </c>
      <c r="J13" s="13">
        <f>INTERCEPT(C11:C86,A11:A86)</f>
        <v/>
      </c>
    </row>
    <row r="14">
      <c r="A14" s="8" t="n">
        <v>1230</v>
      </c>
      <c r="B14" s="9" t="n">
        <v>5.3</v>
      </c>
      <c r="C14" s="10">
        <f>DEGREES(ASIN((B14-$E$5)/SQRT($E$4^2+$E$6^2))+ATAN($E$6/$E$4))</f>
        <v/>
      </c>
      <c r="D14" s="10">
        <f>(A14-$E$7)/$E$8</f>
        <v/>
      </c>
      <c r="E14" s="10">
        <f>C14-D14</f>
        <v/>
      </c>
      <c r="F14" s="10">
        <f>$J$12*A14+$J$13</f>
        <v/>
      </c>
      <c r="G14" s="10">
        <f>C14-F14</f>
        <v/>
      </c>
      <c r="I14" s="3" t="inlineStr">
        <is>
          <t>Fitted us_per_deg</t>
        </is>
      </c>
      <c r="J14" s="13">
        <f>1/J12</f>
        <v/>
      </c>
    </row>
    <row r="15">
      <c r="A15" s="8" t="n">
        <v>1240</v>
      </c>
      <c r="B15" s="9" t="n">
        <v>5.5</v>
      </c>
      <c r="C15" s="10">
        <f>DEGREES(ASIN((B15-$E$5)/SQRT($E$4^2+$E$6^2))+ATAN($E$6/$E$4))</f>
        <v/>
      </c>
      <c r="D15" s="10">
        <f>(A15-$E$7)/$E$8</f>
        <v/>
      </c>
      <c r="E15" s="10">
        <f>C15-D15</f>
        <v/>
      </c>
      <c r="F15" s="10">
        <f>$J$12*A15+$J$13</f>
        <v/>
      </c>
      <c r="G15" s="10">
        <f>C15-F15</f>
        <v/>
      </c>
      <c r="I15" s="3" t="inlineStr">
        <is>
          <t>Fitted centre_us (θ = 0)</t>
        </is>
      </c>
      <c r="J15" s="14">
        <f>-J13/J12</f>
        <v/>
      </c>
    </row>
    <row r="16">
      <c r="A16" s="8" t="n">
        <v>1250</v>
      </c>
      <c r="B16" s="9" t="n">
        <v>6</v>
      </c>
      <c r="C16" s="10">
        <f>DEGREES(ASIN((B16-$E$5)/SQRT($E$4^2+$E$6^2))+ATAN($E$6/$E$4))</f>
        <v/>
      </c>
      <c r="D16" s="10">
        <f>(A16-$E$7)/$E$8</f>
        <v/>
      </c>
      <c r="E16" s="10">
        <f>C16-D16</f>
        <v/>
      </c>
      <c r="F16" s="10">
        <f>$J$12*A16+$J$13</f>
        <v/>
      </c>
      <c r="G16" s="10">
        <f>C16-F16</f>
        <v/>
      </c>
      <c r="I16" s="3" t="inlineStr">
        <is>
          <t>Worst distance from straight line (°)</t>
        </is>
      </c>
      <c r="J16" s="15">
        <f>MAX(MAX(G11:G86),-MIN(G11:G86))</f>
        <v/>
      </c>
    </row>
    <row r="17">
      <c r="A17" s="8" t="n">
        <v>1260</v>
      </c>
      <c r="B17" s="9" t="n">
        <v>6.2</v>
      </c>
      <c r="C17" s="10">
        <f>DEGREES(ASIN((B17-$E$5)/SQRT($E$4^2+$E$6^2))+ATAN($E$6/$E$4))</f>
        <v/>
      </c>
      <c r="D17" s="10">
        <f>(A17-$E$7)/$E$8</f>
        <v/>
      </c>
      <c r="E17" s="10">
        <f>C17-D17</f>
        <v/>
      </c>
      <c r="F17" s="10">
        <f>$J$12*A17+$J$13</f>
        <v/>
      </c>
      <c r="G17" s="10">
        <f>C17-F17</f>
        <v/>
      </c>
      <c r="I17" s="3" t="inlineStr">
        <is>
          <t>Worst difference vs config.h (°)</t>
        </is>
      </c>
      <c r="J17" s="15">
        <f>MAX(MAX(E11:E86),-MIN(E11:E86))</f>
        <v/>
      </c>
    </row>
    <row r="18">
      <c r="A18" s="8" t="n">
        <v>1270</v>
      </c>
      <c r="B18" s="9" t="n">
        <v>6.5</v>
      </c>
      <c r="C18" s="10">
        <f>DEGREES(ASIN((B18-$E$5)/SQRT($E$4^2+$E$6^2))+ATAN($E$6/$E$4))</f>
        <v/>
      </c>
      <c r="D18" s="10">
        <f>(A18-$E$7)/$E$8</f>
        <v/>
      </c>
      <c r="E18" s="10">
        <f>C18-D18</f>
        <v/>
      </c>
      <c r="F18" s="10">
        <f>$J$12*A18+$J$13</f>
        <v/>
      </c>
      <c r="G18" s="10">
        <f>C18-F18</f>
        <v/>
      </c>
      <c r="I18" s="3" t="inlineStr">
        <is>
          <t>Measured range (°)</t>
        </is>
      </c>
      <c r="J18" s="11">
        <f>TEXT(MIN(C11:C86),"0.0")&amp;" to "&amp;TEXT(MAX(C11:C86),"0.0")</f>
        <v/>
      </c>
    </row>
    <row r="19">
      <c r="A19" s="8" t="n">
        <v>1280</v>
      </c>
      <c r="B19" s="9" t="n">
        <v>6.9</v>
      </c>
      <c r="C19" s="10">
        <f>DEGREES(ASIN((B19-$E$5)/SQRT($E$4^2+$E$6^2))+ATAN($E$6/$E$4))</f>
        <v/>
      </c>
      <c r="D19" s="10">
        <f>(A19-$E$7)/$E$8</f>
        <v/>
      </c>
      <c r="E19" s="10">
        <f>C19-D19</f>
        <v/>
      </c>
      <c r="F19" s="10">
        <f>$J$12*A19+$J$13</f>
        <v/>
      </c>
      <c r="G19" s="10">
        <f>C19-F19</f>
        <v/>
      </c>
    </row>
    <row r="20">
      <c r="A20" s="8" t="n">
        <v>1290</v>
      </c>
      <c r="B20" s="9" t="n">
        <v>7.3</v>
      </c>
      <c r="C20" s="10">
        <f>DEGREES(ASIN((B20-$E$5)/SQRT($E$4^2+$E$6^2))+ATAN($E$6/$E$4))</f>
        <v/>
      </c>
      <c r="D20" s="10">
        <f>(A20-$E$7)/$E$8</f>
        <v/>
      </c>
      <c r="E20" s="10">
        <f>C20-D20</f>
        <v/>
      </c>
      <c r="F20" s="10">
        <f>$J$12*A20+$J$13</f>
        <v/>
      </c>
      <c r="G20" s="10">
        <f>C20-F20</f>
        <v/>
      </c>
    </row>
    <row r="21">
      <c r="A21" s="8" t="n">
        <v>1300</v>
      </c>
      <c r="B21" s="9" t="n">
        <v>7.5</v>
      </c>
      <c r="C21" s="10">
        <f>DEGREES(ASIN((B21-$E$5)/SQRT($E$4^2+$E$6^2))+ATAN($E$6/$E$4))</f>
        <v/>
      </c>
      <c r="D21" s="10">
        <f>(A21-$E$7)/$E$8</f>
        <v/>
      </c>
      <c r="E21" s="10">
        <f>C21-D21</f>
        <v/>
      </c>
      <c r="F21" s="10">
        <f>$J$12*A21+$J$13</f>
        <v/>
      </c>
      <c r="G21" s="10">
        <f>C21-F21</f>
        <v/>
      </c>
    </row>
    <row r="22">
      <c r="A22" s="8" t="n">
        <v>1310</v>
      </c>
      <c r="B22" s="9" t="n">
        <v>7.9</v>
      </c>
      <c r="C22" s="10">
        <f>DEGREES(ASIN((B22-$E$5)/SQRT($E$4^2+$E$6^2))+ATAN($E$6/$E$4))</f>
        <v/>
      </c>
      <c r="D22" s="10">
        <f>(A22-$E$7)/$E$8</f>
        <v/>
      </c>
      <c r="E22" s="10">
        <f>C22-D22</f>
        <v/>
      </c>
      <c r="F22" s="10">
        <f>$J$12*A22+$J$13</f>
        <v/>
      </c>
      <c r="G22" s="10">
        <f>C22-F22</f>
        <v/>
      </c>
    </row>
    <row r="23">
      <c r="A23" s="8" t="n">
        <v>1320</v>
      </c>
      <c r="B23" s="9" t="n">
        <v>8.1</v>
      </c>
      <c r="C23" s="10">
        <f>DEGREES(ASIN((B23-$E$5)/SQRT($E$4^2+$E$6^2))+ATAN($E$6/$E$4))</f>
        <v/>
      </c>
      <c r="D23" s="10">
        <f>(A23-$E$7)/$E$8</f>
        <v/>
      </c>
      <c r="E23" s="10">
        <f>C23-D23</f>
        <v/>
      </c>
      <c r="F23" s="10">
        <f>$J$12*A23+$J$13</f>
        <v/>
      </c>
      <c r="G23" s="10">
        <f>C23-F23</f>
        <v/>
      </c>
    </row>
    <row r="24">
      <c r="A24" s="8" t="n">
        <v>1330</v>
      </c>
      <c r="B24" s="9" t="n">
        <v>8.5</v>
      </c>
      <c r="C24" s="10">
        <f>DEGREES(ASIN((B24-$E$5)/SQRT($E$4^2+$E$6^2))+ATAN($E$6/$E$4))</f>
        <v/>
      </c>
      <c r="D24" s="10">
        <f>(A24-$E$7)/$E$8</f>
        <v/>
      </c>
      <c r="E24" s="10">
        <f>C24-D24</f>
        <v/>
      </c>
      <c r="F24" s="10">
        <f>$J$12*A24+$J$13</f>
        <v/>
      </c>
      <c r="G24" s="10">
        <f>C24-F24</f>
        <v/>
      </c>
    </row>
    <row r="25">
      <c r="A25" s="8" t="n">
        <v>1340</v>
      </c>
      <c r="B25" s="9" t="n">
        <v>8.699999999999999</v>
      </c>
      <c r="C25" s="10">
        <f>DEGREES(ASIN((B25-$E$5)/SQRT($E$4^2+$E$6^2))+ATAN($E$6/$E$4))</f>
        <v/>
      </c>
      <c r="D25" s="10">
        <f>(A25-$E$7)/$E$8</f>
        <v/>
      </c>
      <c r="E25" s="10">
        <f>C25-D25</f>
        <v/>
      </c>
      <c r="F25" s="10">
        <f>$J$12*A25+$J$13</f>
        <v/>
      </c>
      <c r="G25" s="10">
        <f>C25-F25</f>
        <v/>
      </c>
    </row>
    <row r="26">
      <c r="A26" s="8" t="n">
        <v>1350</v>
      </c>
      <c r="B26" s="9" t="n">
        <v>9</v>
      </c>
      <c r="C26" s="10">
        <f>DEGREES(ASIN((B26-$E$5)/SQRT($E$4^2+$E$6^2))+ATAN($E$6/$E$4))</f>
        <v/>
      </c>
      <c r="D26" s="10">
        <f>(A26-$E$7)/$E$8</f>
        <v/>
      </c>
      <c r="E26" s="10">
        <f>C26-D26</f>
        <v/>
      </c>
      <c r="F26" s="10">
        <f>$J$12*A26+$J$13</f>
        <v/>
      </c>
      <c r="G26" s="10">
        <f>C26-F26</f>
        <v/>
      </c>
    </row>
    <row r="27">
      <c r="A27" s="8" t="n">
        <v>1360</v>
      </c>
      <c r="B27" s="9" t="n">
        <v>9.5</v>
      </c>
      <c r="C27" s="10">
        <f>DEGREES(ASIN((B27-$E$5)/SQRT($E$4^2+$E$6^2))+ATAN($E$6/$E$4))</f>
        <v/>
      </c>
      <c r="D27" s="10">
        <f>(A27-$E$7)/$E$8</f>
        <v/>
      </c>
      <c r="E27" s="10">
        <f>C27-D27</f>
        <v/>
      </c>
      <c r="F27" s="10">
        <f>$J$12*A27+$J$13</f>
        <v/>
      </c>
      <c r="G27" s="10">
        <f>C27-F27</f>
        <v/>
      </c>
    </row>
    <row r="28">
      <c r="A28" s="8" t="n">
        <v>1370</v>
      </c>
      <c r="B28" s="9" t="n">
        <v>9.699999999999999</v>
      </c>
      <c r="C28" s="10">
        <f>DEGREES(ASIN((B28-$E$5)/SQRT($E$4^2+$E$6^2))+ATAN($E$6/$E$4))</f>
        <v/>
      </c>
      <c r="D28" s="10">
        <f>(A28-$E$7)/$E$8</f>
        <v/>
      </c>
      <c r="E28" s="10">
        <f>C28-D28</f>
        <v/>
      </c>
      <c r="F28" s="10">
        <f>$J$12*A28+$J$13</f>
        <v/>
      </c>
      <c r="G28" s="10">
        <f>C28-F28</f>
        <v/>
      </c>
    </row>
    <row r="29">
      <c r="A29" s="8" t="n">
        <v>1380</v>
      </c>
      <c r="B29" s="9" t="n">
        <v>10</v>
      </c>
      <c r="C29" s="10">
        <f>DEGREES(ASIN((B29-$E$5)/SQRT($E$4^2+$E$6^2))+ATAN($E$6/$E$4))</f>
        <v/>
      </c>
      <c r="D29" s="10">
        <f>(A29-$E$7)/$E$8</f>
        <v/>
      </c>
      <c r="E29" s="10">
        <f>C29-D29</f>
        <v/>
      </c>
      <c r="F29" s="10">
        <f>$J$12*A29+$J$13</f>
        <v/>
      </c>
      <c r="G29" s="10">
        <f>C29-F29</f>
        <v/>
      </c>
    </row>
    <row r="30">
      <c r="A30" s="8" t="n">
        <v>1390</v>
      </c>
      <c r="B30" s="9" t="n">
        <v>10.5</v>
      </c>
      <c r="C30" s="10">
        <f>DEGREES(ASIN((B30-$E$5)/SQRT($E$4^2+$E$6^2))+ATAN($E$6/$E$4))</f>
        <v/>
      </c>
      <c r="D30" s="10">
        <f>(A30-$E$7)/$E$8</f>
        <v/>
      </c>
      <c r="E30" s="10">
        <f>C30-D30</f>
        <v/>
      </c>
      <c r="F30" s="10">
        <f>$J$12*A30+$J$13</f>
        <v/>
      </c>
      <c r="G30" s="10">
        <f>C30-F30</f>
        <v/>
      </c>
    </row>
    <row r="31">
      <c r="A31" s="8" t="n">
        <v>1400</v>
      </c>
      <c r="B31" s="9" t="n">
        <v>10.7</v>
      </c>
      <c r="C31" s="10">
        <f>DEGREES(ASIN((B31-$E$5)/SQRT($E$4^2+$E$6^2))+ATAN($E$6/$E$4))</f>
        <v/>
      </c>
      <c r="D31" s="10">
        <f>(A31-$E$7)/$E$8</f>
        <v/>
      </c>
      <c r="E31" s="10">
        <f>C31-D31</f>
        <v/>
      </c>
      <c r="F31" s="10">
        <f>$J$12*A31+$J$13</f>
        <v/>
      </c>
      <c r="G31" s="10">
        <f>C31-F31</f>
        <v/>
      </c>
    </row>
    <row r="32">
      <c r="A32" s="8" t="n">
        <v>1410</v>
      </c>
      <c r="B32" s="9" t="n">
        <v>11</v>
      </c>
      <c r="C32" s="10">
        <f>DEGREES(ASIN((B32-$E$5)/SQRT($E$4^2+$E$6^2))+ATAN($E$6/$E$4))</f>
        <v/>
      </c>
      <c r="D32" s="10">
        <f>(A32-$E$7)/$E$8</f>
        <v/>
      </c>
      <c r="E32" s="10">
        <f>C32-D32</f>
        <v/>
      </c>
      <c r="F32" s="10">
        <f>$J$12*A32+$J$13</f>
        <v/>
      </c>
      <c r="G32" s="10">
        <f>C32-F32</f>
        <v/>
      </c>
    </row>
    <row r="33">
      <c r="A33" s="8" t="n">
        <v>1420</v>
      </c>
      <c r="B33" s="9" t="n">
        <v>11.5</v>
      </c>
      <c r="C33" s="10">
        <f>DEGREES(ASIN((B33-$E$5)/SQRT($E$4^2+$E$6^2))+ATAN($E$6/$E$4))</f>
        <v/>
      </c>
      <c r="D33" s="10">
        <f>(A33-$E$7)/$E$8</f>
        <v/>
      </c>
      <c r="E33" s="10">
        <f>C33-D33</f>
        <v/>
      </c>
      <c r="F33" s="10">
        <f>$J$12*A33+$J$13</f>
        <v/>
      </c>
      <c r="G33" s="10">
        <f>C33-F33</f>
        <v/>
      </c>
    </row>
    <row r="34">
      <c r="A34" s="8" t="n">
        <v>1430</v>
      </c>
      <c r="B34" s="9" t="n">
        <v>11.6</v>
      </c>
      <c r="C34" s="10">
        <f>DEGREES(ASIN((B34-$E$5)/SQRT($E$4^2+$E$6^2))+ATAN($E$6/$E$4))</f>
        <v/>
      </c>
      <c r="D34" s="10">
        <f>(A34-$E$7)/$E$8</f>
        <v/>
      </c>
      <c r="E34" s="10">
        <f>C34-D34</f>
        <v/>
      </c>
      <c r="F34" s="10">
        <f>$J$12*A34+$J$13</f>
        <v/>
      </c>
      <c r="G34" s="10">
        <f>C34-F34</f>
        <v/>
      </c>
    </row>
    <row r="35">
      <c r="A35" s="8" t="n">
        <v>1440</v>
      </c>
      <c r="B35" s="9" t="n">
        <v>12</v>
      </c>
      <c r="C35" s="10">
        <f>DEGREES(ASIN((B35-$E$5)/SQRT($E$4^2+$E$6^2))+ATAN($E$6/$E$4))</f>
        <v/>
      </c>
      <c r="D35" s="10">
        <f>(A35-$E$7)/$E$8</f>
        <v/>
      </c>
      <c r="E35" s="10">
        <f>C35-D35</f>
        <v/>
      </c>
      <c r="F35" s="10">
        <f>$J$12*A35+$J$13</f>
        <v/>
      </c>
      <c r="G35" s="10">
        <f>C35-F35</f>
        <v/>
      </c>
    </row>
    <row r="36">
      <c r="A36" s="8" t="n">
        <v>1450</v>
      </c>
      <c r="B36" s="9" t="n">
        <v>12.4</v>
      </c>
      <c r="C36" s="10">
        <f>DEGREES(ASIN((B36-$E$5)/SQRT($E$4^2+$E$6^2))+ATAN($E$6/$E$4))</f>
        <v/>
      </c>
      <c r="D36" s="10">
        <f>(A36-$E$7)/$E$8</f>
        <v/>
      </c>
      <c r="E36" s="10">
        <f>C36-D36</f>
        <v/>
      </c>
      <c r="F36" s="10">
        <f>$J$12*A36+$J$13</f>
        <v/>
      </c>
      <c r="G36" s="10">
        <f>C36-F36</f>
        <v/>
      </c>
    </row>
    <row r="37">
      <c r="A37" s="8" t="n">
        <v>1460</v>
      </c>
      <c r="B37" s="9" t="n">
        <v>12.6</v>
      </c>
      <c r="C37" s="10">
        <f>DEGREES(ASIN((B37-$E$5)/SQRT($E$4^2+$E$6^2))+ATAN($E$6/$E$4))</f>
        <v/>
      </c>
      <c r="D37" s="10">
        <f>(A37-$E$7)/$E$8</f>
        <v/>
      </c>
      <c r="E37" s="10">
        <f>C37-D37</f>
        <v/>
      </c>
      <c r="F37" s="10">
        <f>$J$12*A37+$J$13</f>
        <v/>
      </c>
      <c r="G37" s="10">
        <f>C37-F37</f>
        <v/>
      </c>
    </row>
    <row r="38">
      <c r="A38" s="8" t="n">
        <v>1470</v>
      </c>
      <c r="B38" s="9" t="n">
        <v>13</v>
      </c>
      <c r="C38" s="10">
        <f>DEGREES(ASIN((B38-$E$5)/SQRT($E$4^2+$E$6^2))+ATAN($E$6/$E$4))</f>
        <v/>
      </c>
      <c r="D38" s="10">
        <f>(A38-$E$7)/$E$8</f>
        <v/>
      </c>
      <c r="E38" s="10">
        <f>C38-D38</f>
        <v/>
      </c>
      <c r="F38" s="10">
        <f>$J$12*A38+$J$13</f>
        <v/>
      </c>
      <c r="G38" s="10">
        <f>C38-F38</f>
        <v/>
      </c>
    </row>
    <row r="39">
      <c r="A39" s="8" t="n">
        <v>1480</v>
      </c>
      <c r="B39" s="9" t="n">
        <v>13.2</v>
      </c>
      <c r="C39" s="10">
        <f>DEGREES(ASIN((B39-$E$5)/SQRT($E$4^2+$E$6^2))+ATAN($E$6/$E$4))</f>
        <v/>
      </c>
      <c r="D39" s="10">
        <f>(A39-$E$7)/$E$8</f>
        <v/>
      </c>
      <c r="E39" s="10">
        <f>C39-D39</f>
        <v/>
      </c>
      <c r="F39" s="10">
        <f>$J$12*A39+$J$13</f>
        <v/>
      </c>
      <c r="G39" s="10">
        <f>C39-F39</f>
        <v/>
      </c>
    </row>
    <row r="40">
      <c r="A40" s="8" t="n">
        <v>1490</v>
      </c>
      <c r="B40" s="9" t="n">
        <v>13.6</v>
      </c>
      <c r="C40" s="10">
        <f>DEGREES(ASIN((B40-$E$5)/SQRT($E$4^2+$E$6^2))+ATAN($E$6/$E$4))</f>
        <v/>
      </c>
      <c r="D40" s="10">
        <f>(A40-$E$7)/$E$8</f>
        <v/>
      </c>
      <c r="E40" s="10">
        <f>C40-D40</f>
        <v/>
      </c>
      <c r="F40" s="10">
        <f>$J$12*A40+$J$13</f>
        <v/>
      </c>
      <c r="G40" s="10">
        <f>C40-F40</f>
        <v/>
      </c>
    </row>
    <row r="41">
      <c r="A41" s="8" t="n">
        <v>1500</v>
      </c>
      <c r="B41" s="9" t="n">
        <v>13.9</v>
      </c>
      <c r="C41" s="10">
        <f>DEGREES(ASIN((B41-$E$5)/SQRT($E$4^2+$E$6^2))+ATAN($E$6/$E$4))</f>
        <v/>
      </c>
      <c r="D41" s="10">
        <f>(A41-$E$7)/$E$8</f>
        <v/>
      </c>
      <c r="E41" s="10">
        <f>C41-D41</f>
        <v/>
      </c>
      <c r="F41" s="10">
        <f>$J$12*A41+$J$13</f>
        <v/>
      </c>
      <c r="G41" s="10">
        <f>C41-F41</f>
        <v/>
      </c>
    </row>
    <row r="42">
      <c r="A42" s="8" t="n">
        <v>1510</v>
      </c>
      <c r="B42" s="9" t="n">
        <v>14.4</v>
      </c>
      <c r="C42" s="10">
        <f>DEGREES(ASIN((B42-$E$5)/SQRT($E$4^2+$E$6^2))+ATAN($E$6/$E$4))</f>
        <v/>
      </c>
      <c r="D42" s="10">
        <f>(A42-$E$7)/$E$8</f>
        <v/>
      </c>
      <c r="E42" s="10">
        <f>C42-D42</f>
        <v/>
      </c>
      <c r="F42" s="10">
        <f>$J$12*A42+$J$13</f>
        <v/>
      </c>
      <c r="G42" s="10">
        <f>C42-F42</f>
        <v/>
      </c>
    </row>
    <row r="43">
      <c r="A43" s="8" t="n">
        <v>1520</v>
      </c>
      <c r="B43" s="9" t="n">
        <v>14.5</v>
      </c>
      <c r="C43" s="10">
        <f>DEGREES(ASIN((B43-$E$5)/SQRT($E$4^2+$E$6^2))+ATAN($E$6/$E$4))</f>
        <v/>
      </c>
      <c r="D43" s="10">
        <f>(A43-$E$7)/$E$8</f>
        <v/>
      </c>
      <c r="E43" s="10">
        <f>C43-D43</f>
        <v/>
      </c>
      <c r="F43" s="10">
        <f>$J$12*A43+$J$13</f>
        <v/>
      </c>
      <c r="G43" s="10">
        <f>C43-F43</f>
        <v/>
      </c>
    </row>
    <row r="44">
      <c r="A44" s="8" t="n">
        <v>1530</v>
      </c>
      <c r="B44" s="9" t="n">
        <v>14.9</v>
      </c>
      <c r="C44" s="10">
        <f>DEGREES(ASIN((B44-$E$5)/SQRT($E$4^2+$E$6^2))+ATAN($E$6/$E$4))</f>
        <v/>
      </c>
      <c r="D44" s="10">
        <f>(A44-$E$7)/$E$8</f>
        <v/>
      </c>
      <c r="E44" s="10">
        <f>C44-D44</f>
        <v/>
      </c>
      <c r="F44" s="10">
        <f>$J$12*A44+$J$13</f>
        <v/>
      </c>
      <c r="G44" s="10">
        <f>C44-F44</f>
        <v/>
      </c>
    </row>
    <row r="45">
      <c r="A45" s="8" t="n">
        <v>1540</v>
      </c>
      <c r="B45" s="9" t="n">
        <v>15.1</v>
      </c>
      <c r="C45" s="10">
        <f>DEGREES(ASIN((B45-$E$5)/SQRT($E$4^2+$E$6^2))+ATAN($E$6/$E$4))</f>
        <v/>
      </c>
      <c r="D45" s="10">
        <f>(A45-$E$7)/$E$8</f>
        <v/>
      </c>
      <c r="E45" s="10">
        <f>C45-D45</f>
        <v/>
      </c>
      <c r="F45" s="10">
        <f>$J$12*A45+$J$13</f>
        <v/>
      </c>
      <c r="G45" s="10">
        <f>C45-F45</f>
        <v/>
      </c>
    </row>
    <row r="46">
      <c r="A46" s="8" t="n">
        <v>1550</v>
      </c>
      <c r="B46" s="9" t="n">
        <v>15.4</v>
      </c>
      <c r="C46" s="10">
        <f>DEGREES(ASIN((B46-$E$5)/SQRT($E$4^2+$E$6^2))+ATAN($E$6/$E$4))</f>
        <v/>
      </c>
      <c r="D46" s="10">
        <f>(A46-$E$7)/$E$8</f>
        <v/>
      </c>
      <c r="E46" s="10">
        <f>C46-D46</f>
        <v/>
      </c>
      <c r="F46" s="10">
        <f>$J$12*A46+$J$13</f>
        <v/>
      </c>
      <c r="G46" s="10">
        <f>C46-F46</f>
        <v/>
      </c>
    </row>
    <row r="47">
      <c r="A47" s="8" t="n">
        <v>1560</v>
      </c>
      <c r="B47" s="9" t="n">
        <v>15.8</v>
      </c>
      <c r="C47" s="10">
        <f>DEGREES(ASIN((B47-$E$5)/SQRT($E$4^2+$E$6^2))+ATAN($E$6/$E$4))</f>
        <v/>
      </c>
      <c r="D47" s="10">
        <f>(A47-$E$7)/$E$8</f>
        <v/>
      </c>
      <c r="E47" s="10">
        <f>C47-D47</f>
        <v/>
      </c>
      <c r="F47" s="10">
        <f>$J$12*A47+$J$13</f>
        <v/>
      </c>
      <c r="G47" s="10">
        <f>C47-F47</f>
        <v/>
      </c>
    </row>
    <row r="48">
      <c r="A48" s="8" t="n">
        <v>1570</v>
      </c>
      <c r="B48" s="9" t="n">
        <v>16</v>
      </c>
      <c r="C48" s="10">
        <f>DEGREES(ASIN((B48-$E$5)/SQRT($E$4^2+$E$6^2))+ATAN($E$6/$E$4))</f>
        <v/>
      </c>
      <c r="D48" s="10">
        <f>(A48-$E$7)/$E$8</f>
        <v/>
      </c>
      <c r="E48" s="10">
        <f>C48-D48</f>
        <v/>
      </c>
      <c r="F48" s="10">
        <f>$J$12*A48+$J$13</f>
        <v/>
      </c>
      <c r="G48" s="10">
        <f>C48-F48</f>
        <v/>
      </c>
    </row>
    <row r="49">
      <c r="A49" s="8" t="n">
        <v>1580</v>
      </c>
      <c r="B49" s="9" t="n">
        <v>16.5</v>
      </c>
      <c r="C49" s="10">
        <f>DEGREES(ASIN((B49-$E$5)/SQRT($E$4^2+$E$6^2))+ATAN($E$6/$E$4))</f>
        <v/>
      </c>
      <c r="D49" s="10">
        <f>(A49-$E$7)/$E$8</f>
        <v/>
      </c>
      <c r="E49" s="10">
        <f>C49-D49</f>
        <v/>
      </c>
      <c r="F49" s="10">
        <f>$J$12*A49+$J$13</f>
        <v/>
      </c>
      <c r="G49" s="10">
        <f>C49-F49</f>
        <v/>
      </c>
    </row>
    <row r="50">
      <c r="A50" s="8" t="n">
        <v>1590</v>
      </c>
      <c r="B50" s="9" t="n">
        <v>16.6</v>
      </c>
      <c r="C50" s="10">
        <f>DEGREES(ASIN((B50-$E$5)/SQRT($E$4^2+$E$6^2))+ATAN($E$6/$E$4))</f>
        <v/>
      </c>
      <c r="D50" s="10">
        <f>(A50-$E$7)/$E$8</f>
        <v/>
      </c>
      <c r="E50" s="10">
        <f>C50-D50</f>
        <v/>
      </c>
      <c r="F50" s="10">
        <f>$J$12*A50+$J$13</f>
        <v/>
      </c>
      <c r="G50" s="10">
        <f>C50-F50</f>
        <v/>
      </c>
    </row>
    <row r="51">
      <c r="A51" s="8" t="n">
        <v>1600</v>
      </c>
      <c r="B51" s="9" t="n">
        <v>17</v>
      </c>
      <c r="C51" s="10">
        <f>DEGREES(ASIN((B51-$E$5)/SQRT($E$4^2+$E$6^2))+ATAN($E$6/$E$4))</f>
        <v/>
      </c>
      <c r="D51" s="10">
        <f>(A51-$E$7)/$E$8</f>
        <v/>
      </c>
      <c r="E51" s="10">
        <f>C51-D51</f>
        <v/>
      </c>
      <c r="F51" s="10">
        <f>$J$12*A51+$J$13</f>
        <v/>
      </c>
      <c r="G51" s="10">
        <f>C51-F51</f>
        <v/>
      </c>
    </row>
    <row r="52">
      <c r="A52" s="8" t="n">
        <v>1610</v>
      </c>
      <c r="B52" s="9" t="n">
        <v>17.4</v>
      </c>
      <c r="C52" s="10">
        <f>DEGREES(ASIN((B52-$E$5)/SQRT($E$4^2+$E$6^2))+ATAN($E$6/$E$4))</f>
        <v/>
      </c>
      <c r="D52" s="10">
        <f>(A52-$E$7)/$E$8</f>
        <v/>
      </c>
      <c r="E52" s="10">
        <f>C52-D52</f>
        <v/>
      </c>
      <c r="F52" s="10">
        <f>$J$12*A52+$J$13</f>
        <v/>
      </c>
      <c r="G52" s="10">
        <f>C52-F52</f>
        <v/>
      </c>
    </row>
    <row r="53">
      <c r="A53" s="8" t="n">
        <v>1620</v>
      </c>
      <c r="B53" s="9" t="n">
        <v>17.7</v>
      </c>
      <c r="C53" s="10">
        <f>DEGREES(ASIN((B53-$E$5)/SQRT($E$4^2+$E$6^2))+ATAN($E$6/$E$4))</f>
        <v/>
      </c>
      <c r="D53" s="10">
        <f>(A53-$E$7)/$E$8</f>
        <v/>
      </c>
      <c r="E53" s="10">
        <f>C53-D53</f>
        <v/>
      </c>
      <c r="F53" s="10">
        <f>$J$12*A53+$J$13</f>
        <v/>
      </c>
      <c r="G53" s="10">
        <f>C53-F53</f>
        <v/>
      </c>
    </row>
    <row r="54">
      <c r="A54" s="8" t="n">
        <v>1630</v>
      </c>
      <c r="B54" s="9" t="n">
        <v>18</v>
      </c>
      <c r="C54" s="10">
        <f>DEGREES(ASIN((B54-$E$5)/SQRT($E$4^2+$E$6^2))+ATAN($E$6/$E$4))</f>
        <v/>
      </c>
      <c r="D54" s="10">
        <f>(A54-$E$7)/$E$8</f>
        <v/>
      </c>
      <c r="E54" s="10">
        <f>C54-D54</f>
        <v/>
      </c>
      <c r="F54" s="10">
        <f>$J$12*A54+$J$13</f>
        <v/>
      </c>
      <c r="G54" s="10">
        <f>C54-F54</f>
        <v/>
      </c>
    </row>
    <row r="55">
      <c r="A55" s="8" t="n">
        <v>1640</v>
      </c>
      <c r="B55" s="9" t="n">
        <v>18.2</v>
      </c>
      <c r="C55" s="10">
        <f>DEGREES(ASIN((B55-$E$5)/SQRT($E$4^2+$E$6^2))+ATAN($E$6/$E$4))</f>
        <v/>
      </c>
      <c r="D55" s="10">
        <f>(A55-$E$7)/$E$8</f>
        <v/>
      </c>
      <c r="E55" s="10">
        <f>C55-D55</f>
        <v/>
      </c>
      <c r="F55" s="10">
        <f>$J$12*A55+$J$13</f>
        <v/>
      </c>
      <c r="G55" s="10">
        <f>C55-F55</f>
        <v/>
      </c>
    </row>
    <row r="56">
      <c r="A56" s="8" t="n">
        <v>1650</v>
      </c>
      <c r="B56" s="9" t="n">
        <v>18.5</v>
      </c>
      <c r="C56" s="10">
        <f>DEGREES(ASIN((B56-$E$5)/SQRT($E$4^2+$E$6^2))+ATAN($E$6/$E$4))</f>
        <v/>
      </c>
      <c r="D56" s="10">
        <f>(A56-$E$7)/$E$8</f>
        <v/>
      </c>
      <c r="E56" s="10">
        <f>C56-D56</f>
        <v/>
      </c>
      <c r="F56" s="10">
        <f>$J$12*A56+$J$13</f>
        <v/>
      </c>
      <c r="G56" s="10">
        <f>C56-F56</f>
        <v/>
      </c>
    </row>
    <row r="57">
      <c r="A57" s="8" t="n">
        <v>1660</v>
      </c>
      <c r="B57" s="9" t="n">
        <v>18.8</v>
      </c>
      <c r="C57" s="10">
        <f>DEGREES(ASIN((B57-$E$5)/SQRT($E$4^2+$E$6^2))+ATAN($E$6/$E$4))</f>
        <v/>
      </c>
      <c r="D57" s="10">
        <f>(A57-$E$7)/$E$8</f>
        <v/>
      </c>
      <c r="E57" s="10">
        <f>C57-D57</f>
        <v/>
      </c>
      <c r="F57" s="10">
        <f>$J$12*A57+$J$13</f>
        <v/>
      </c>
      <c r="G57" s="10">
        <f>C57-F57</f>
        <v/>
      </c>
    </row>
    <row r="58">
      <c r="A58" s="8" t="n">
        <v>1670</v>
      </c>
      <c r="B58" s="9" t="n">
        <v>19.1</v>
      </c>
      <c r="C58" s="10">
        <f>DEGREES(ASIN((B58-$E$5)/SQRT($E$4^2+$E$6^2))+ATAN($E$6/$E$4))</f>
        <v/>
      </c>
      <c r="D58" s="10">
        <f>(A58-$E$7)/$E$8</f>
        <v/>
      </c>
      <c r="E58" s="10">
        <f>C58-D58</f>
        <v/>
      </c>
      <c r="F58" s="10">
        <f>$J$12*A58+$J$13</f>
        <v/>
      </c>
      <c r="G58" s="10">
        <f>C58-F58</f>
        <v/>
      </c>
    </row>
    <row r="59">
      <c r="A59" s="8" t="n">
        <v>1680</v>
      </c>
      <c r="B59" s="9" t="n">
        <v>19.5</v>
      </c>
      <c r="C59" s="10">
        <f>DEGREES(ASIN((B59-$E$5)/SQRT($E$4^2+$E$6^2))+ATAN($E$6/$E$4))</f>
        <v/>
      </c>
      <c r="D59" s="10">
        <f>(A59-$E$7)/$E$8</f>
        <v/>
      </c>
      <c r="E59" s="10">
        <f>C59-D59</f>
        <v/>
      </c>
      <c r="F59" s="10">
        <f>$J$12*A59+$J$13</f>
        <v/>
      </c>
      <c r="G59" s="10">
        <f>C59-F59</f>
        <v/>
      </c>
    </row>
    <row r="60">
      <c r="A60" s="8" t="n">
        <v>1690</v>
      </c>
      <c r="B60" s="9" t="n">
        <v>19.7</v>
      </c>
      <c r="C60" s="10">
        <f>DEGREES(ASIN((B60-$E$5)/SQRT($E$4^2+$E$6^2))+ATAN($E$6/$E$4))</f>
        <v/>
      </c>
      <c r="D60" s="10">
        <f>(A60-$E$7)/$E$8</f>
        <v/>
      </c>
      <c r="E60" s="10">
        <f>C60-D60</f>
        <v/>
      </c>
      <c r="F60" s="10">
        <f>$J$12*A60+$J$13</f>
        <v/>
      </c>
      <c r="G60" s="10">
        <f>C60-F60</f>
        <v/>
      </c>
    </row>
    <row r="61">
      <c r="A61" s="8" t="n">
        <v>1700</v>
      </c>
      <c r="B61" s="9" t="n">
        <v>20.4</v>
      </c>
      <c r="C61" s="10">
        <f>DEGREES(ASIN((B61-$E$5)/SQRT($E$4^2+$E$6^2))+ATAN($E$6/$E$4))</f>
        <v/>
      </c>
      <c r="D61" s="10">
        <f>(A61-$E$7)/$E$8</f>
        <v/>
      </c>
      <c r="E61" s="10">
        <f>C61-D61</f>
        <v/>
      </c>
      <c r="F61" s="10">
        <f>$J$12*A61+$J$13</f>
        <v/>
      </c>
      <c r="G61" s="10">
        <f>C61-F61</f>
        <v/>
      </c>
    </row>
    <row r="62">
      <c r="A62" s="8" t="n">
        <v>1710</v>
      </c>
      <c r="B62" s="9" t="n">
        <v>20.5</v>
      </c>
      <c r="C62" s="10">
        <f>DEGREES(ASIN((B62-$E$5)/SQRT($E$4^2+$E$6^2))+ATAN($E$6/$E$4))</f>
        <v/>
      </c>
      <c r="D62" s="10">
        <f>(A62-$E$7)/$E$8</f>
        <v/>
      </c>
      <c r="E62" s="10">
        <f>C62-D62</f>
        <v/>
      </c>
      <c r="F62" s="10">
        <f>$J$12*A62+$J$13</f>
        <v/>
      </c>
      <c r="G62" s="10">
        <f>C62-F62</f>
        <v/>
      </c>
    </row>
    <row r="63">
      <c r="A63" s="8" t="n">
        <v>1720</v>
      </c>
      <c r="B63" s="9" t="n">
        <v>20.9</v>
      </c>
      <c r="C63" s="10">
        <f>DEGREES(ASIN((B63-$E$5)/SQRT($E$4^2+$E$6^2))+ATAN($E$6/$E$4))</f>
        <v/>
      </c>
      <c r="D63" s="10">
        <f>(A63-$E$7)/$E$8</f>
        <v/>
      </c>
      <c r="E63" s="10">
        <f>C63-D63</f>
        <v/>
      </c>
      <c r="F63" s="10">
        <f>$J$12*A63+$J$13</f>
        <v/>
      </c>
      <c r="G63" s="10">
        <f>C63-F63</f>
        <v/>
      </c>
    </row>
    <row r="64">
      <c r="A64" s="8" t="n">
        <v>1730</v>
      </c>
      <c r="B64" s="9" t="n">
        <v>21</v>
      </c>
      <c r="C64" s="10">
        <f>DEGREES(ASIN((B64-$E$5)/SQRT($E$4^2+$E$6^2))+ATAN($E$6/$E$4))</f>
        <v/>
      </c>
      <c r="D64" s="10">
        <f>(A64-$E$7)/$E$8</f>
        <v/>
      </c>
      <c r="E64" s="10">
        <f>C64-D64</f>
        <v/>
      </c>
      <c r="F64" s="10">
        <f>$J$12*A64+$J$13</f>
        <v/>
      </c>
      <c r="G64" s="10">
        <f>C64-F64</f>
        <v/>
      </c>
    </row>
    <row r="65">
      <c r="A65" s="8" t="n">
        <v>1740</v>
      </c>
      <c r="B65" s="9" t="n">
        <v>21.6</v>
      </c>
      <c r="C65" s="10">
        <f>DEGREES(ASIN((B65-$E$5)/SQRT($E$4^2+$E$6^2))+ATAN($E$6/$E$4))</f>
        <v/>
      </c>
      <c r="D65" s="10">
        <f>(A65-$E$7)/$E$8</f>
        <v/>
      </c>
      <c r="E65" s="10">
        <f>C65-D65</f>
        <v/>
      </c>
      <c r="F65" s="10">
        <f>$J$12*A65+$J$13</f>
        <v/>
      </c>
      <c r="G65" s="10">
        <f>C65-F65</f>
        <v/>
      </c>
    </row>
    <row r="66">
      <c r="A66" s="8" t="n">
        <v>1750</v>
      </c>
      <c r="B66" s="9" t="n">
        <v>21.8</v>
      </c>
      <c r="C66" s="10">
        <f>DEGREES(ASIN((B66-$E$5)/SQRT($E$4^2+$E$6^2))+ATAN($E$6/$E$4))</f>
        <v/>
      </c>
      <c r="D66" s="10">
        <f>(A66-$E$7)/$E$8</f>
        <v/>
      </c>
      <c r="E66" s="10">
        <f>C66-D66</f>
        <v/>
      </c>
      <c r="F66" s="10">
        <f>$J$12*A66+$J$13</f>
        <v/>
      </c>
      <c r="G66" s="10">
        <f>C66-F66</f>
        <v/>
      </c>
    </row>
    <row r="67">
      <c r="A67" s="8" t="n">
        <v>1760</v>
      </c>
      <c r="B67" s="9" t="n">
        <v>22.1</v>
      </c>
      <c r="C67" s="10">
        <f>DEGREES(ASIN((B67-$E$5)/SQRT($E$4^2+$E$6^2))+ATAN($E$6/$E$4))</f>
        <v/>
      </c>
      <c r="D67" s="10">
        <f>(A67-$E$7)/$E$8</f>
        <v/>
      </c>
      <c r="E67" s="10">
        <f>C67-D67</f>
        <v/>
      </c>
      <c r="F67" s="10">
        <f>$J$12*A67+$J$13</f>
        <v/>
      </c>
      <c r="G67" s="10">
        <f>C67-F67</f>
        <v/>
      </c>
    </row>
    <row r="68">
      <c r="A68" s="8" t="n">
        <v>1770</v>
      </c>
      <c r="B68" s="9" t="n">
        <v>22.3</v>
      </c>
      <c r="C68" s="10">
        <f>DEGREES(ASIN((B68-$E$5)/SQRT($E$4^2+$E$6^2))+ATAN($E$6/$E$4))</f>
        <v/>
      </c>
      <c r="D68" s="10">
        <f>(A68-$E$7)/$E$8</f>
        <v/>
      </c>
      <c r="E68" s="10">
        <f>C68-D68</f>
        <v/>
      </c>
      <c r="F68" s="10">
        <f>$J$12*A68+$J$13</f>
        <v/>
      </c>
      <c r="G68" s="10">
        <f>C68-F68</f>
        <v/>
      </c>
    </row>
    <row r="69">
      <c r="A69" s="8" t="n">
        <v>1780</v>
      </c>
      <c r="B69" s="9" t="n">
        <v>22.5</v>
      </c>
      <c r="C69" s="10">
        <f>DEGREES(ASIN((B69-$E$5)/SQRT($E$4^2+$E$6^2))+ATAN($E$6/$E$4))</f>
        <v/>
      </c>
      <c r="D69" s="10">
        <f>(A69-$E$7)/$E$8</f>
        <v/>
      </c>
      <c r="E69" s="10">
        <f>C69-D69</f>
        <v/>
      </c>
      <c r="F69" s="10">
        <f>$J$12*A69+$J$13</f>
        <v/>
      </c>
      <c r="G69" s="10">
        <f>C69-F69</f>
        <v/>
      </c>
    </row>
    <row r="70">
      <c r="A70" s="8" t="n">
        <v>1790</v>
      </c>
      <c r="B70" s="9" t="n">
        <v>22.6</v>
      </c>
      <c r="C70" s="10">
        <f>DEGREES(ASIN((B70-$E$5)/SQRT($E$4^2+$E$6^2))+ATAN($E$6/$E$4))</f>
        <v/>
      </c>
      <c r="D70" s="10">
        <f>(A70-$E$7)/$E$8</f>
        <v/>
      </c>
      <c r="E70" s="10">
        <f>C70-D70</f>
        <v/>
      </c>
      <c r="F70" s="10">
        <f>$J$12*A70+$J$13</f>
        <v/>
      </c>
      <c r="G70" s="10">
        <f>C70-F70</f>
        <v/>
      </c>
    </row>
    <row r="71">
      <c r="A71" s="8" t="n">
        <v>1800</v>
      </c>
      <c r="B71" s="9" t="n">
        <v>23</v>
      </c>
      <c r="C71" s="10">
        <f>DEGREES(ASIN((B71-$E$5)/SQRT($E$4^2+$E$6^2))+ATAN($E$6/$E$4))</f>
        <v/>
      </c>
      <c r="D71" s="10">
        <f>(A71-$E$7)/$E$8</f>
        <v/>
      </c>
      <c r="E71" s="10">
        <f>C71-D71</f>
        <v/>
      </c>
      <c r="F71" s="10">
        <f>$J$12*A71+$J$13</f>
        <v/>
      </c>
      <c r="G71" s="10">
        <f>C71-F71</f>
        <v/>
      </c>
    </row>
    <row r="72">
      <c r="A72" s="8" t="n">
        <v>1810</v>
      </c>
      <c r="B72" s="9" t="n">
        <v>23.4</v>
      </c>
      <c r="C72" s="10">
        <f>DEGREES(ASIN((B72-$E$5)/SQRT($E$4^2+$E$6^2))+ATAN($E$6/$E$4))</f>
        <v/>
      </c>
      <c r="D72" s="10">
        <f>(A72-$E$7)/$E$8</f>
        <v/>
      </c>
      <c r="E72" s="10">
        <f>C72-D72</f>
        <v/>
      </c>
      <c r="F72" s="10">
        <f>$J$12*A72+$J$13</f>
        <v/>
      </c>
      <c r="G72" s="10">
        <f>C72-F72</f>
        <v/>
      </c>
    </row>
    <row r="73">
      <c r="A73" s="8" t="n">
        <v>1820</v>
      </c>
      <c r="B73" s="9" t="n">
        <v>23.5</v>
      </c>
      <c r="C73" s="10">
        <f>DEGREES(ASIN((B73-$E$5)/SQRT($E$4^2+$E$6^2))+ATAN($E$6/$E$4))</f>
        <v/>
      </c>
      <c r="D73" s="10">
        <f>(A73-$E$7)/$E$8</f>
        <v/>
      </c>
      <c r="E73" s="10">
        <f>C73-D73</f>
        <v/>
      </c>
      <c r="F73" s="10">
        <f>$J$12*A73+$J$13</f>
        <v/>
      </c>
      <c r="G73" s="10">
        <f>C73-F73</f>
        <v/>
      </c>
    </row>
    <row r="74">
      <c r="A74" s="8" t="n">
        <v>1830</v>
      </c>
      <c r="B74" s="9" t="n">
        <v>23.7</v>
      </c>
      <c r="C74" s="10">
        <f>DEGREES(ASIN((B74-$E$5)/SQRT($E$4^2+$E$6^2))+ATAN($E$6/$E$4))</f>
        <v/>
      </c>
      <c r="D74" s="10">
        <f>(A74-$E$7)/$E$8</f>
        <v/>
      </c>
      <c r="E74" s="10">
        <f>C74-D74</f>
        <v/>
      </c>
      <c r="F74" s="10">
        <f>$J$12*A74+$J$13</f>
        <v/>
      </c>
      <c r="G74" s="10">
        <f>C74-F74</f>
        <v/>
      </c>
    </row>
    <row r="75">
      <c r="A75" s="8" t="n">
        <v>1840</v>
      </c>
      <c r="B75" s="9" t="n">
        <v>24</v>
      </c>
      <c r="C75" s="10">
        <f>DEGREES(ASIN((B75-$E$5)/SQRT($E$4^2+$E$6^2))+ATAN($E$6/$E$4))</f>
        <v/>
      </c>
      <c r="D75" s="10">
        <f>(A75-$E$7)/$E$8</f>
        <v/>
      </c>
      <c r="E75" s="10">
        <f>C75-D75</f>
        <v/>
      </c>
      <c r="F75" s="10">
        <f>$J$12*A75+$J$13</f>
        <v/>
      </c>
      <c r="G75" s="10">
        <f>C75-F75</f>
        <v/>
      </c>
    </row>
    <row r="76">
      <c r="A76" s="8" t="n">
        <v>1850</v>
      </c>
      <c r="B76" s="9" t="n">
        <v>24.1</v>
      </c>
      <c r="C76" s="10">
        <f>DEGREES(ASIN((B76-$E$5)/SQRT($E$4^2+$E$6^2))+ATAN($E$6/$E$4))</f>
        <v/>
      </c>
      <c r="D76" s="10">
        <f>(A76-$E$7)/$E$8</f>
        <v/>
      </c>
      <c r="E76" s="10">
        <f>C76-D76</f>
        <v/>
      </c>
      <c r="F76" s="10">
        <f>$J$12*A76+$J$13</f>
        <v/>
      </c>
      <c r="G76" s="10">
        <f>C76-F76</f>
        <v/>
      </c>
    </row>
    <row r="77">
      <c r="A77" s="8" t="n">
        <v>1860</v>
      </c>
      <c r="B77" s="9" t="n">
        <v>24.4</v>
      </c>
      <c r="C77" s="10">
        <f>DEGREES(ASIN((B77-$E$5)/SQRT($E$4^2+$E$6^2))+ATAN($E$6/$E$4))</f>
        <v/>
      </c>
      <c r="D77" s="10">
        <f>(A77-$E$7)/$E$8</f>
        <v/>
      </c>
      <c r="E77" s="10">
        <f>C77-D77</f>
        <v/>
      </c>
      <c r="F77" s="10">
        <f>$J$12*A77+$J$13</f>
        <v/>
      </c>
      <c r="G77" s="10">
        <f>C77-F77</f>
        <v/>
      </c>
    </row>
    <row r="78">
      <c r="A78" s="8" t="n">
        <v>1870</v>
      </c>
      <c r="B78" s="9" t="n">
        <v>24.7</v>
      </c>
      <c r="C78" s="10">
        <f>DEGREES(ASIN((B78-$E$5)/SQRT($E$4^2+$E$6^2))+ATAN($E$6/$E$4))</f>
        <v/>
      </c>
      <c r="D78" s="10">
        <f>(A78-$E$7)/$E$8</f>
        <v/>
      </c>
      <c r="E78" s="10">
        <f>C78-D78</f>
        <v/>
      </c>
      <c r="F78" s="10">
        <f>$J$12*A78+$J$13</f>
        <v/>
      </c>
      <c r="G78" s="10">
        <f>C78-F78</f>
        <v/>
      </c>
    </row>
    <row r="79">
      <c r="A79" s="8" t="n">
        <v>1880</v>
      </c>
      <c r="B79" s="9" t="n">
        <v>24.9</v>
      </c>
      <c r="C79" s="10">
        <f>DEGREES(ASIN((B79-$E$5)/SQRT($E$4^2+$E$6^2))+ATAN($E$6/$E$4))</f>
        <v/>
      </c>
      <c r="D79" s="10">
        <f>(A79-$E$7)/$E$8</f>
        <v/>
      </c>
      <c r="E79" s="10">
        <f>C79-D79</f>
        <v/>
      </c>
      <c r="F79" s="10">
        <f>$J$12*A79+$J$13</f>
        <v/>
      </c>
      <c r="G79" s="10">
        <f>C79-F79</f>
        <v/>
      </c>
    </row>
    <row r="80">
      <c r="A80" s="8" t="n">
        <v>1890</v>
      </c>
      <c r="B80" s="9" t="n">
        <v>25.1</v>
      </c>
      <c r="C80" s="10">
        <f>DEGREES(ASIN((B80-$E$5)/SQRT($E$4^2+$E$6^2))+ATAN($E$6/$E$4))</f>
        <v/>
      </c>
      <c r="D80" s="10">
        <f>(A80-$E$7)/$E$8</f>
        <v/>
      </c>
      <c r="E80" s="10">
        <f>C80-D80</f>
        <v/>
      </c>
      <c r="F80" s="10">
        <f>$J$12*A80+$J$13</f>
        <v/>
      </c>
      <c r="G80" s="10">
        <f>C80-F80</f>
        <v/>
      </c>
    </row>
    <row r="81">
      <c r="A81" s="8" t="n">
        <v>1900</v>
      </c>
      <c r="B81" s="9" t="n">
        <v>25.3</v>
      </c>
      <c r="C81" s="10">
        <f>DEGREES(ASIN((B81-$E$5)/SQRT($E$4^2+$E$6^2))+ATAN($E$6/$E$4))</f>
        <v/>
      </c>
      <c r="D81" s="10">
        <f>(A81-$E$7)/$E$8</f>
        <v/>
      </c>
      <c r="E81" s="10">
        <f>C81-D81</f>
        <v/>
      </c>
      <c r="F81" s="10">
        <f>$J$12*A81+$J$13</f>
        <v/>
      </c>
      <c r="G81" s="10">
        <f>C81-F81</f>
        <v/>
      </c>
    </row>
    <row r="82">
      <c r="A82" s="8" t="n">
        <v>1910</v>
      </c>
      <c r="B82" s="9" t="n">
        <v>25.5</v>
      </c>
      <c r="C82" s="10">
        <f>DEGREES(ASIN((B82-$E$5)/SQRT($E$4^2+$E$6^2))+ATAN($E$6/$E$4))</f>
        <v/>
      </c>
      <c r="D82" s="10">
        <f>(A82-$E$7)/$E$8</f>
        <v/>
      </c>
      <c r="E82" s="10">
        <f>C82-D82</f>
        <v/>
      </c>
      <c r="F82" s="10">
        <f>$J$12*A82+$J$13</f>
        <v/>
      </c>
      <c r="G82" s="10">
        <f>C82-F82</f>
        <v/>
      </c>
    </row>
    <row r="83">
      <c r="A83" s="8" t="n">
        <v>1920</v>
      </c>
      <c r="B83" s="9" t="n">
        <v>25.7</v>
      </c>
      <c r="C83" s="10">
        <f>DEGREES(ASIN((B83-$E$5)/SQRT($E$4^2+$E$6^2))+ATAN($E$6/$E$4))</f>
        <v/>
      </c>
      <c r="D83" s="10">
        <f>(A83-$E$7)/$E$8</f>
        <v/>
      </c>
      <c r="E83" s="10">
        <f>C83-D83</f>
        <v/>
      </c>
      <c r="F83" s="10">
        <f>$J$12*A83+$J$13</f>
        <v/>
      </c>
      <c r="G83" s="10">
        <f>C83-F83</f>
        <v/>
      </c>
    </row>
    <row r="84">
      <c r="A84" s="8" t="n">
        <v>1930</v>
      </c>
      <c r="B84" s="9" t="n">
        <v>25.9</v>
      </c>
      <c r="C84" s="10">
        <f>DEGREES(ASIN((B84-$E$5)/SQRT($E$4^2+$E$6^2))+ATAN($E$6/$E$4))</f>
        <v/>
      </c>
      <c r="D84" s="10">
        <f>(A84-$E$7)/$E$8</f>
        <v/>
      </c>
      <c r="E84" s="10">
        <f>C84-D84</f>
        <v/>
      </c>
      <c r="F84" s="10">
        <f>$J$12*A84+$J$13</f>
        <v/>
      </c>
      <c r="G84" s="10">
        <f>C84-F84</f>
        <v/>
      </c>
    </row>
    <row r="85">
      <c r="A85" s="8" t="n">
        <v>1940</v>
      </c>
      <c r="B85" s="9" t="n">
        <v>26</v>
      </c>
      <c r="C85" s="10">
        <f>DEGREES(ASIN((B85-$E$5)/SQRT($E$4^2+$E$6^2))+ATAN($E$6/$E$4))</f>
        <v/>
      </c>
      <c r="D85" s="10">
        <f>(A85-$E$7)/$E$8</f>
        <v/>
      </c>
      <c r="E85" s="10">
        <f>C85-D85</f>
        <v/>
      </c>
      <c r="F85" s="10">
        <f>$J$12*A85+$J$13</f>
        <v/>
      </c>
      <c r="G85" s="10">
        <f>C85-F85</f>
        <v/>
      </c>
    </row>
    <row r="86">
      <c r="A86" s="8" t="n">
        <v>1950</v>
      </c>
      <c r="B86" s="9" t="n">
        <v>26.1</v>
      </c>
      <c r="C86" s="10">
        <f>DEGREES(ASIN((B86-$E$5)/SQRT($E$4^2+$E$6^2))+ATAN($E$6/$E$4))</f>
        <v/>
      </c>
      <c r="D86" s="10">
        <f>(A86-$E$7)/$E$8</f>
        <v/>
      </c>
      <c r="E86" s="10">
        <f>C86-D86</f>
        <v/>
      </c>
      <c r="F86" s="10">
        <f>$J$12*A86+$J$13</f>
        <v/>
      </c>
      <c r="G86" s="10">
        <f>C86-F86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2026-09-29T10:16:25Z</dcterms:created>
  <dcterms:modified xsi:type="dcterms:W3CDTF">2026-09-29T10:16:25Z</dcterms:modified>
</cp:coreProperties>
</file>